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4D1C537B-E38A-612A-F078-A93A15B4B7F4}"/>
  <workbookPr codeName="ThisWorkbook"/>
  <mc:AlternateContent xmlns:mc="http://schemas.openxmlformats.org/markup-compatibility/2006">
    <mc:Choice Requires="x15">
      <x15ac:absPath xmlns:x15ac="http://schemas.microsoft.com/office/spreadsheetml/2010/11/ac" url="C:\Users\arnab\Desktop\FIRs\"/>
    </mc:Choice>
  </mc:AlternateContent>
  <xr:revisionPtr revIDLastSave="0" documentId="13_ncr:1_{03DB8819-20DB-4EDE-86D4-767065E7843F}" xr6:coauthVersionLast="47" xr6:coauthVersionMax="47" xr10:uidLastSave="{00000000-0000-0000-0000-000000000000}"/>
  <bookViews>
    <workbookView xWindow="-108" yWindow="-108" windowWidth="23256" windowHeight="12456" xr2:uid="{00000000-000D-0000-FFFF-FFFF00000000}"/>
  </bookViews>
  <sheets>
    <sheet name="Field Installation" sheetId="1" r:id="rId1"/>
    <sheet name="Project_Ref" sheetId="2" r:id="rId2"/>
    <sheet name="Data" sheetId="3" state="hidden" r:id="rId3"/>
    <sheet name="SUMFIR" sheetId="4" state="hidden" r:id="rId4"/>
  </sheets>
  <definedNames>
    <definedName name="_xlnm.Print_Area" localSheetId="0">'Field Installation'!$A$1:$AA$56</definedName>
    <definedName name="tbl_Cell">Data!$A$2:$A$9</definedName>
    <definedName name="tbl_P">Project_Ref!$A$2:$L$29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V3" i="4" l="1"/>
  <c r="AU2" i="4" l="1"/>
  <c r="AT2" i="4"/>
  <c r="AS2" i="4"/>
  <c r="AR2" i="4"/>
  <c r="AQ2" i="4"/>
  <c r="AP2" i="4"/>
  <c r="AO2" i="4"/>
  <c r="AN2" i="4"/>
  <c r="AM2" i="4"/>
  <c r="AL2" i="4"/>
  <c r="AK2" i="4"/>
  <c r="AJ2" i="4"/>
  <c r="AI2" i="4"/>
  <c r="AH2" i="4"/>
  <c r="AG2" i="4"/>
  <c r="AF2" i="4"/>
  <c r="AE2" i="4"/>
  <c r="AD2" i="4"/>
  <c r="AC2" i="4"/>
  <c r="AB2" i="4"/>
  <c r="AA2" i="4"/>
  <c r="Z2" i="4"/>
  <c r="Y2" i="4"/>
  <c r="X2" i="4"/>
  <c r="W2" i="4"/>
  <c r="V2" i="4"/>
  <c r="U2" i="4"/>
  <c r="T2" i="4"/>
  <c r="S2" i="4"/>
  <c r="R2" i="4"/>
  <c r="Q2" i="4"/>
  <c r="P2" i="4"/>
  <c r="O2" i="4"/>
  <c r="N2" i="4"/>
  <c r="M2" i="4"/>
  <c r="L2" i="4"/>
  <c r="K2" i="4"/>
  <c r="J2" i="4"/>
  <c r="I2" i="4"/>
  <c r="H2" i="4"/>
  <c r="G2" i="4"/>
  <c r="F2" i="4"/>
  <c r="E2" i="4"/>
  <c r="D2" i="4"/>
  <c r="C3" i="4"/>
  <c r="C2" i="4"/>
  <c r="B3" i="4"/>
  <c r="B4" i="4"/>
  <c r="A2" i="4"/>
  <c r="B2" i="4" l="1"/>
  <c r="AA51" i="1" l="1"/>
  <c r="A1" i="3"/>
  <c r="A3" i="3" s="1"/>
  <c r="A97" i="1"/>
  <c r="A12" i="1"/>
  <c r="A98" i="1" s="1"/>
  <c r="D49" i="1"/>
  <c r="C49" i="1"/>
  <c r="A49" i="1"/>
  <c r="B49" i="1"/>
  <c r="E49" i="1"/>
  <c r="A7" i="1"/>
  <c r="A5" i="3" l="1"/>
  <c r="A7" i="3"/>
  <c r="A51" i="1"/>
  <c r="A2" i="3"/>
  <c r="A4" i="3"/>
  <c r="A9" i="3"/>
  <c r="A6" i="3"/>
  <c r="A8" i="3"/>
  <c r="A13" i="1"/>
  <c r="A18" i="1"/>
  <c r="A19" i="1" l="1"/>
  <c r="A99" i="1"/>
  <c r="A24" i="1"/>
  <c r="A25" i="1" l="1"/>
  <c r="A100" i="1"/>
  <c r="A30" i="1"/>
  <c r="A36" i="1" l="1"/>
  <c r="A101" i="1"/>
  <c r="A31" i="1"/>
  <c r="A42" i="1" l="1"/>
  <c r="A102" i="1"/>
  <c r="A37" i="1"/>
  <c r="A43" i="1" l="1"/>
  <c r="A103" i="1"/>
  <c r="A105" i="1" s="1"/>
  <c r="A104" i="1"/>
  <c r="E104" i="1" l="1"/>
  <c r="I104" i="1" s="1"/>
  <c r="D104" i="1"/>
  <c r="H104" i="1" s="1"/>
  <c r="A106" i="1"/>
  <c r="F104" i="1"/>
  <c r="J104" i="1" s="1"/>
  <c r="D105" i="1"/>
  <c r="H105" i="1" s="1"/>
  <c r="F105" i="1"/>
  <c r="J105" i="1" s="1"/>
  <c r="E105" i="1"/>
  <c r="I105" i="1" s="1"/>
  <c r="I3" i="1" l="1"/>
  <c r="A107" i="1"/>
  <c r="G1" i="1" s="1"/>
</calcChain>
</file>

<file path=xl/sharedStrings.xml><?xml version="1.0" encoding="utf-8"?>
<sst xmlns="http://schemas.openxmlformats.org/spreadsheetml/2006/main" count="162" uniqueCount="105">
  <si>
    <t>Work Performed:</t>
  </si>
  <si>
    <t>Total Hours</t>
  </si>
  <si>
    <t>S</t>
  </si>
  <si>
    <t>OT</t>
  </si>
  <si>
    <t>DT</t>
  </si>
  <si>
    <t>Print:</t>
  </si>
  <si>
    <t>Date:</t>
  </si>
  <si>
    <t>( Overtime is typically after 8 straight hours &amp; Double Time on Weekends/Holiday only)</t>
  </si>
  <si>
    <t>Type of Report:</t>
  </si>
  <si>
    <t>Date</t>
  </si>
  <si>
    <t>TT</t>
  </si>
  <si>
    <t>Subtotal</t>
  </si>
  <si>
    <t>Additional Comments:</t>
  </si>
  <si>
    <t>W</t>
  </si>
  <si>
    <t>Data Collection</t>
  </si>
  <si>
    <t>Show Date</t>
  </si>
  <si>
    <t>Show daily hours</t>
  </si>
  <si>
    <t>Discribe work done for the day</t>
  </si>
  <si>
    <t>Example 1 - FIR instructions:</t>
  </si>
  <si>
    <r>
      <t xml:space="preserve">Customer (sign):
</t>
    </r>
    <r>
      <rPr>
        <sz val="8"/>
        <rFont val="Arial"/>
        <family val="2"/>
      </rPr>
      <t>(if required)</t>
    </r>
  </si>
  <si>
    <t>Exp Rep:</t>
  </si>
  <si>
    <t>Save the file or scanned copy in the 
installation folder on asgexec.</t>
  </si>
  <si>
    <t xml:space="preserve">As the authorized representative of the customer, I agree that the FANUC engineer named below performed the work described in the report section, in the time specified, for the purposes noted. Please note that all work is based on FANUC Ameraica Corporation “Standard Terms and Conditions of Sale”, revised May, 2013 </t>
  </si>
  <si>
    <t>Wait</t>
  </si>
  <si>
    <t>Project</t>
  </si>
  <si>
    <t>Plant / Location</t>
  </si>
  <si>
    <t>Customer Name</t>
  </si>
  <si>
    <t>Phone Number</t>
  </si>
  <si>
    <t>1st - Program/Process/Cell</t>
  </si>
  <si>
    <t>2nd - Program/Process/Cell</t>
  </si>
  <si>
    <t>3rd - Program/Process/Cell</t>
  </si>
  <si>
    <t>4th - Program/Process/Cell</t>
  </si>
  <si>
    <t>5th - Program/Process/Cell</t>
  </si>
  <si>
    <t>6th - Program/Process/Cell</t>
  </si>
  <si>
    <t>7th - Program/Process/Cell</t>
  </si>
  <si>
    <t>8th - Program/Process/Cell</t>
  </si>
  <si>
    <t>Customer Contact
Name:</t>
  </si>
  <si>
    <t>Phone #:</t>
  </si>
  <si>
    <t>Plant / Location:</t>
  </si>
  <si>
    <t>Total</t>
  </si>
  <si>
    <t>Program /   .
Process / Cell:</t>
  </si>
  <si>
    <t>Project #:</t>
  </si>
  <si>
    <r>
      <t xml:space="preserve">EmpNo:
</t>
    </r>
    <r>
      <rPr>
        <sz val="6"/>
        <rFont val="Arial"/>
        <family val="2"/>
      </rPr>
      <t>Last Name:</t>
    </r>
  </si>
  <si>
    <t>Name of person providing support:</t>
  </si>
  <si>
    <t>Expense
Amount</t>
  </si>
  <si>
    <t xml:space="preserve">fill in PROJECT &amp; DATE &amp; EMP# to get FIR number                      </t>
  </si>
  <si>
    <t xml:space="preserve">Week of </t>
  </si>
  <si>
    <t>Engineer</t>
  </si>
  <si>
    <t>Field Installation Reprot (FIR)</t>
  </si>
  <si>
    <t>S1</t>
  </si>
  <si>
    <t>OT1</t>
  </si>
  <si>
    <t>DT1</t>
  </si>
  <si>
    <t>TT1</t>
  </si>
  <si>
    <t>W1</t>
  </si>
  <si>
    <t>WT1</t>
  </si>
  <si>
    <t>S2</t>
  </si>
  <si>
    <t>OT2</t>
  </si>
  <si>
    <t>DT2</t>
  </si>
  <si>
    <t>TT2</t>
  </si>
  <si>
    <t>W2</t>
  </si>
  <si>
    <t>WT2</t>
  </si>
  <si>
    <t>S3</t>
  </si>
  <si>
    <t>OT3</t>
  </si>
  <si>
    <t>DT3</t>
  </si>
  <si>
    <t>TT3</t>
  </si>
  <si>
    <t>W3</t>
  </si>
  <si>
    <t>WT3</t>
  </si>
  <si>
    <t>S4</t>
  </si>
  <si>
    <t>OT4</t>
  </si>
  <si>
    <t>DT4</t>
  </si>
  <si>
    <t>TT4</t>
  </si>
  <si>
    <t>W4</t>
  </si>
  <si>
    <t>WT4</t>
  </si>
  <si>
    <t>S5</t>
  </si>
  <si>
    <t>OT5</t>
  </si>
  <si>
    <t>DT5</t>
  </si>
  <si>
    <t>TT5</t>
  </si>
  <si>
    <t>W5</t>
  </si>
  <si>
    <t>WT5</t>
  </si>
  <si>
    <t>S6</t>
  </si>
  <si>
    <t>OT6</t>
  </si>
  <si>
    <t>DT6</t>
  </si>
  <si>
    <t>TT6</t>
  </si>
  <si>
    <t>W6</t>
  </si>
  <si>
    <t>WT6</t>
  </si>
  <si>
    <t>S7</t>
  </si>
  <si>
    <t>OT7</t>
  </si>
  <si>
    <t>DT7</t>
  </si>
  <si>
    <t>TT7</t>
  </si>
  <si>
    <t>W7</t>
  </si>
  <si>
    <t>WT7</t>
  </si>
  <si>
    <t>Project Number</t>
  </si>
  <si>
    <t>Expense</t>
  </si>
  <si>
    <t>Report Type</t>
  </si>
  <si>
    <t>Expense Rep</t>
  </si>
  <si>
    <r>
      <t xml:space="preserve">File the form using the filing convension: FIR-xxxxxx-xxxxxx-EmpNo(O).xlsm   </t>
    </r>
    <r>
      <rPr>
        <sz val="8"/>
        <rFont val="Arial"/>
        <family val="2"/>
      </rPr>
      <t>example:</t>
    </r>
    <r>
      <rPr>
        <u/>
        <sz val="10"/>
        <rFont val="Arial"/>
        <family val="2"/>
      </rPr>
      <t>FIR-119317-140228-1112(O).xlsm</t>
    </r>
  </si>
  <si>
    <t>Arnab</t>
  </si>
  <si>
    <t xml:space="preserve">waited for safety training </t>
  </si>
  <si>
    <t xml:space="preserve">safety training, assisted jack with inventory, troubleshooted robots, unpacked all the robots, barricaded the cell, put up danger signs. </t>
  </si>
  <si>
    <t xml:space="preserve">made inventory lists, troubleshooted errors, setup robots, remastered the robots. </t>
  </si>
  <si>
    <t xml:space="preserve">installed teachpendant to robots, troubleshooted errors, troubleshooted wiring of the robots. </t>
  </si>
  <si>
    <t xml:space="preserve">created labels, added missing labels to the I/O blocks and pneumatics, </t>
  </si>
  <si>
    <t xml:space="preserve">traveled back to WC. </t>
  </si>
  <si>
    <t>Ford Oakville Body Decking</t>
  </si>
  <si>
    <t>Eric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</si>
</sst>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mm/dd/yy;@"/>
  </numFmts>
  <fonts count="18" x14ac:knownFonts="1">
    <font>
      <sz val="10"/>
      <name val="Arial"/>
    </font>
    <font>
      <sz val="10"/>
      <name val="Arial"/>
      <family val="2"/>
    </font>
    <font>
      <sz val="8"/>
      <name val="Arial"/>
      <family val="2"/>
    </font>
    <font>
      <sz val="6"/>
      <name val="Arial"/>
      <family val="2"/>
    </font>
    <font>
      <sz val="4"/>
      <name val="Arial"/>
      <family val="2"/>
    </font>
    <font>
      <sz val="10"/>
      <color indexed="9"/>
      <name val="Arial"/>
      <family val="2"/>
    </font>
    <font>
      <u/>
      <sz val="10"/>
      <name val="Arial"/>
      <family val="2"/>
    </font>
    <font>
      <sz val="10"/>
      <name val="Arial"/>
      <family val="2"/>
    </font>
    <font>
      <sz val="8"/>
      <name val="Arial Narrow"/>
      <family val="2"/>
    </font>
    <font>
      <sz val="10"/>
      <color indexed="10"/>
      <name val="Arial"/>
      <family val="2"/>
    </font>
    <font>
      <b/>
      <sz val="12"/>
      <name val="Arial"/>
      <family val="2"/>
    </font>
    <font>
      <sz val="7"/>
      <name val="Arial"/>
      <family val="2"/>
    </font>
    <font>
      <sz val="12"/>
      <name val="Arial"/>
      <family val="2"/>
    </font>
    <font>
      <b/>
      <sz val="10"/>
      <color theme="0"/>
      <name val="Arial"/>
      <family val="2"/>
    </font>
    <font>
      <b/>
      <sz val="10"/>
      <color theme="0"/>
      <name val="Arial"/>
      <family val="2"/>
    </font>
    <font>
      <sz val="10"/>
      <color theme="1"/>
      <name val="Arial"/>
      <family val="2"/>
    </font>
    <font>
      <sz val="6"/>
      <color theme="0" tint="-4.9989318521683403E-2"/>
      <name val="Arial"/>
      <family val="2"/>
    </font>
    <font>
      <sz val="8"/>
      <color rgb="FF000000"/>
      <name val="Segoe UI"/>
      <family val="2"/>
    </font>
  </fonts>
  <fills count="9">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theme="4"/>
        <bgColor theme="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48">
    <border>
      <left/>
      <right/>
      <top/>
      <bottom/>
      <diagonal/>
    </border>
    <border>
      <left style="double">
        <color indexed="64"/>
      </left>
      <right style="thin">
        <color indexed="64"/>
      </right>
      <top style="thin">
        <color indexed="64"/>
      </top>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double">
        <color indexed="64"/>
      </right>
      <top style="thin">
        <color indexed="64"/>
      </top>
      <bottom/>
      <diagonal/>
    </border>
    <border>
      <left/>
      <right style="double">
        <color indexed="64"/>
      </right>
      <top/>
      <bottom/>
      <diagonal/>
    </border>
    <border>
      <left/>
      <right style="double">
        <color indexed="64"/>
      </right>
      <top style="thin">
        <color indexed="64"/>
      </top>
      <bottom style="thin">
        <color indexed="64"/>
      </bottom>
      <diagonal/>
    </border>
    <border>
      <left/>
      <right style="double">
        <color indexed="64"/>
      </right>
      <top/>
      <bottom style="medium">
        <color indexed="64"/>
      </bottom>
      <diagonal/>
    </border>
    <border>
      <left/>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double">
        <color indexed="64"/>
      </right>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dotted">
        <color indexed="64"/>
      </right>
      <top style="double">
        <color indexed="64"/>
      </top>
      <bottom style="thin">
        <color indexed="64"/>
      </bottom>
      <diagonal/>
    </border>
    <border>
      <left/>
      <right style="double">
        <color indexed="64"/>
      </right>
      <top style="double">
        <color indexed="64"/>
      </top>
      <bottom style="thin">
        <color indexed="64"/>
      </bottom>
      <diagonal/>
    </border>
    <border>
      <left style="thin">
        <color indexed="64"/>
      </left>
      <right/>
      <top style="thin">
        <color indexed="64"/>
      </top>
      <bottom/>
      <diagonal/>
    </border>
    <border>
      <left/>
      <right/>
      <top style="thin">
        <color indexed="64"/>
      </top>
      <bottom/>
      <diagonal/>
    </border>
    <border>
      <left style="double">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style="double">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double">
        <color indexed="64"/>
      </right>
      <top/>
      <bottom style="thin">
        <color indexed="64"/>
      </bottom>
      <diagonal/>
    </border>
    <border>
      <left style="double">
        <color indexed="64"/>
      </left>
      <right/>
      <top style="thin">
        <color indexed="64"/>
      </top>
      <bottom style="thin">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2">
    <xf numFmtId="0" fontId="0" fillId="0" borderId="0"/>
    <xf numFmtId="44" fontId="1" fillId="0" borderId="0" applyFont="0" applyFill="0" applyBorder="0" applyAlignment="0" applyProtection="0"/>
  </cellStyleXfs>
  <cellXfs count="158">
    <xf numFmtId="0" fontId="0" fillId="0" borderId="0" xfId="0"/>
    <xf numFmtId="0" fontId="2" fillId="2" borderId="1" xfId="0" applyFont="1" applyFill="1" applyBorder="1" applyAlignment="1" applyProtection="1">
      <alignment horizontal="center" vertical="center" shrinkToFit="1"/>
      <protection locked="0"/>
    </xf>
    <xf numFmtId="0" fontId="2" fillId="2" borderId="2" xfId="0" applyFont="1" applyFill="1" applyBorder="1" applyAlignment="1" applyProtection="1">
      <alignment horizontal="center" vertical="center" shrinkToFit="1"/>
      <protection locked="0"/>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0" fillId="3" borderId="0" xfId="0" applyFill="1"/>
    <xf numFmtId="0" fontId="0" fillId="3" borderId="0" xfId="0" applyFill="1" applyAlignment="1">
      <alignment horizontal="left"/>
    </xf>
    <xf numFmtId="0" fontId="0" fillId="3" borderId="5" xfId="0" applyFill="1" applyBorder="1"/>
    <xf numFmtId="0" fontId="2" fillId="3" borderId="6" xfId="0" applyFont="1" applyFill="1" applyBorder="1" applyAlignment="1">
      <alignment vertical="top" wrapText="1"/>
    </xf>
    <xf numFmtId="0" fontId="2" fillId="3" borderId="7" xfId="0" applyFont="1" applyFill="1" applyBorder="1" applyAlignment="1">
      <alignment vertical="top" wrapText="1"/>
    </xf>
    <xf numFmtId="0" fontId="3" fillId="3" borderId="8" xfId="0" applyFont="1" applyFill="1" applyBorder="1" applyAlignment="1">
      <alignment horizontal="center" vertical="center"/>
    </xf>
    <xf numFmtId="0" fontId="2" fillId="3" borderId="1" xfId="0" applyFont="1" applyFill="1" applyBorder="1" applyAlignment="1">
      <alignment horizontal="center" vertical="center" shrinkToFit="1"/>
    </xf>
    <xf numFmtId="0" fontId="2" fillId="3" borderId="2" xfId="0" applyFont="1" applyFill="1" applyBorder="1" applyAlignment="1">
      <alignment horizontal="center" vertical="center" shrinkToFit="1"/>
    </xf>
    <xf numFmtId="0" fontId="2" fillId="3" borderId="9" xfId="0" applyFont="1" applyFill="1" applyBorder="1" applyAlignment="1">
      <alignment vertical="top" wrapText="1"/>
    </xf>
    <xf numFmtId="14" fontId="0" fillId="3" borderId="0" xfId="0" applyNumberFormat="1" applyFill="1"/>
    <xf numFmtId="0" fontId="4" fillId="3" borderId="0" xfId="0" applyFont="1" applyFill="1"/>
    <xf numFmtId="0" fontId="2" fillId="3" borderId="10" xfId="0" applyFont="1" applyFill="1" applyBorder="1"/>
    <xf numFmtId="0" fontId="5" fillId="3" borderId="0" xfId="0" applyFont="1" applyFill="1"/>
    <xf numFmtId="0" fontId="9" fillId="3" borderId="0" xfId="0" applyFont="1" applyFill="1"/>
    <xf numFmtId="49" fontId="5" fillId="3" borderId="0" xfId="0" applyNumberFormat="1" applyFont="1" applyFill="1"/>
    <xf numFmtId="0" fontId="5" fillId="3" borderId="0" xfId="0" applyFont="1" applyFill="1" applyAlignment="1">
      <alignment horizontal="center"/>
    </xf>
    <xf numFmtId="0" fontId="0" fillId="2" borderId="4" xfId="0" applyFill="1" applyBorder="1"/>
    <xf numFmtId="0" fontId="13" fillId="4" borderId="45" xfId="0" applyFont="1" applyFill="1" applyBorder="1"/>
    <xf numFmtId="0" fontId="13" fillId="4" borderId="46" xfId="0" applyFont="1" applyFill="1" applyBorder="1"/>
    <xf numFmtId="0" fontId="14" fillId="4" borderId="46" xfId="0" applyFont="1" applyFill="1" applyBorder="1"/>
    <xf numFmtId="0" fontId="14" fillId="4" borderId="47" xfId="0" applyFont="1" applyFill="1" applyBorder="1"/>
    <xf numFmtId="1" fontId="0" fillId="5" borderId="4" xfId="0" applyNumberFormat="1" applyFill="1" applyBorder="1" applyAlignment="1">
      <alignment horizontal="center" vertical="center"/>
    </xf>
    <xf numFmtId="1" fontId="15" fillId="2" borderId="4" xfId="0" applyNumberFormat="1" applyFont="1" applyFill="1" applyBorder="1" applyAlignment="1">
      <alignment horizontal="center" vertical="center"/>
    </xf>
    <xf numFmtId="0" fontId="15" fillId="2" borderId="4" xfId="0" applyFont="1" applyFill="1" applyBorder="1"/>
    <xf numFmtId="0" fontId="3" fillId="3" borderId="9" xfId="0" applyFont="1" applyFill="1" applyBorder="1" applyAlignment="1">
      <alignment vertical="top" wrapText="1"/>
    </xf>
    <xf numFmtId="0" fontId="2" fillId="3" borderId="8" xfId="0" applyFont="1" applyFill="1" applyBorder="1" applyAlignment="1" applyProtection="1">
      <alignment vertical="top" wrapText="1"/>
      <protection locked="0"/>
    </xf>
    <xf numFmtId="0" fontId="2" fillId="3" borderId="11" xfId="0" applyFont="1" applyFill="1" applyBorder="1" applyAlignment="1">
      <alignment horizontal="right" vertical="center"/>
    </xf>
    <xf numFmtId="0" fontId="8" fillId="3" borderId="10" xfId="0" applyFont="1" applyFill="1" applyBorder="1" applyAlignment="1">
      <alignment horizontal="right" vertical="center"/>
    </xf>
    <xf numFmtId="0" fontId="8" fillId="3" borderId="12" xfId="0" applyFont="1" applyFill="1" applyBorder="1" applyAlignment="1">
      <alignment horizontal="right" vertical="center"/>
    </xf>
    <xf numFmtId="0" fontId="2" fillId="2" borderId="8" xfId="0" applyFont="1" applyFill="1" applyBorder="1" applyAlignment="1" applyProtection="1">
      <alignment horizontal="center" vertical="center" wrapText="1"/>
      <protection locked="0"/>
    </xf>
    <xf numFmtId="0" fontId="2" fillId="3" borderId="13" xfId="0" applyFont="1" applyFill="1" applyBorder="1"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0" fontId="0" fillId="0" borderId="4" xfId="0" applyBorder="1" applyAlignment="1">
      <alignment horizontal="center" vertical="center"/>
    </xf>
    <xf numFmtId="0" fontId="16" fillId="3" borderId="18" xfId="0" applyFont="1" applyFill="1" applyBorder="1" applyAlignment="1">
      <alignment vertical="center" shrinkToFit="1"/>
    </xf>
    <xf numFmtId="0" fontId="0" fillId="7" borderId="4" xfId="0" applyFill="1" applyBorder="1" applyAlignment="1">
      <alignment horizontal="center" vertical="center"/>
    </xf>
    <xf numFmtId="0" fontId="0" fillId="6" borderId="4" xfId="0" applyFill="1" applyBorder="1" applyAlignment="1">
      <alignment horizontal="center" vertical="center"/>
    </xf>
    <xf numFmtId="164" fontId="0" fillId="0" borderId="4" xfId="0" applyNumberFormat="1" applyBorder="1" applyAlignment="1">
      <alignment horizontal="center" vertical="center"/>
    </xf>
    <xf numFmtId="44" fontId="0" fillId="0" borderId="0" xfId="0" applyNumberFormat="1" applyAlignment="1">
      <alignment horizontal="center" vertical="center"/>
    </xf>
    <xf numFmtId="1" fontId="0" fillId="0" borderId="4" xfId="0" applyNumberFormat="1" applyBorder="1" applyAlignment="1">
      <alignment horizontal="center" vertical="center"/>
    </xf>
    <xf numFmtId="0" fontId="7" fillId="8" borderId="4" xfId="0" applyFont="1" applyFill="1" applyBorder="1" applyAlignment="1">
      <alignment horizontal="center" vertical="center"/>
    </xf>
    <xf numFmtId="0" fontId="7" fillId="3" borderId="0" xfId="0" applyFont="1" applyFill="1"/>
    <xf numFmtId="1" fontId="1" fillId="2" borderId="23" xfId="0" applyNumberFormat="1" applyFont="1" applyFill="1" applyBorder="1" applyAlignment="1" applyProtection="1">
      <alignment horizontal="center" vertical="center" shrinkToFit="1"/>
      <protection locked="0"/>
    </xf>
    <xf numFmtId="1" fontId="7" fillId="2" borderId="12" xfId="0" applyNumberFormat="1" applyFont="1" applyFill="1" applyBorder="1" applyAlignment="1" applyProtection="1">
      <alignment horizontal="center" vertical="center" shrinkToFit="1"/>
      <protection locked="0"/>
    </xf>
    <xf numFmtId="1" fontId="7" fillId="2" borderId="24" xfId="0" applyNumberFormat="1" applyFont="1" applyFill="1" applyBorder="1" applyAlignment="1" applyProtection="1">
      <alignment horizontal="center" vertical="center" shrinkToFit="1"/>
      <protection locked="0"/>
    </xf>
    <xf numFmtId="164" fontId="1" fillId="3" borderId="33" xfId="0" applyNumberFormat="1" applyFont="1" applyFill="1" applyBorder="1" applyAlignment="1">
      <alignment horizontal="center" vertical="center" wrapText="1"/>
    </xf>
    <xf numFmtId="164" fontId="1" fillId="3" borderId="12" xfId="0" applyNumberFormat="1" applyFont="1" applyFill="1" applyBorder="1" applyAlignment="1">
      <alignment horizontal="center" vertical="center" wrapText="1"/>
    </xf>
    <xf numFmtId="164" fontId="1" fillId="3" borderId="24" xfId="0" applyNumberFormat="1" applyFont="1" applyFill="1" applyBorder="1" applyAlignment="1">
      <alignment horizontal="center" vertical="center" wrapText="1"/>
    </xf>
    <xf numFmtId="0" fontId="3" fillId="3" borderId="25" xfId="0" applyFont="1" applyFill="1" applyBorder="1" applyAlignment="1">
      <alignment horizontal="center" vertical="center"/>
    </xf>
    <xf numFmtId="0" fontId="3" fillId="3" borderId="0" xfId="0" applyFont="1" applyFill="1" applyAlignment="1">
      <alignment horizontal="center" vertical="center"/>
    </xf>
    <xf numFmtId="0" fontId="3" fillId="3" borderId="26" xfId="0" applyFont="1" applyFill="1" applyBorder="1" applyAlignment="1">
      <alignment horizontal="center" vertical="center"/>
    </xf>
    <xf numFmtId="0" fontId="3" fillId="3" borderId="0" xfId="0" applyFont="1" applyFill="1" applyAlignment="1">
      <alignment horizontal="right" vertical="center" wrapText="1"/>
    </xf>
    <xf numFmtId="0" fontId="3" fillId="3" borderId="14" xfId="0" applyFont="1" applyFill="1" applyBorder="1" applyAlignment="1">
      <alignment horizontal="left" wrapText="1"/>
    </xf>
    <xf numFmtId="0" fontId="3" fillId="3" borderId="15" xfId="0" applyFont="1" applyFill="1" applyBorder="1" applyAlignment="1">
      <alignment horizontal="left" wrapText="1"/>
    </xf>
    <xf numFmtId="0" fontId="2" fillId="3" borderId="11" xfId="0" applyFont="1" applyFill="1" applyBorder="1" applyAlignment="1">
      <alignment horizontal="right" vertical="center"/>
    </xf>
    <xf numFmtId="0" fontId="2" fillId="3" borderId="40" xfId="0" applyFont="1" applyFill="1" applyBorder="1" applyAlignment="1">
      <alignment horizontal="right" vertical="center"/>
    </xf>
    <xf numFmtId="14" fontId="2" fillId="2" borderId="23" xfId="0" applyNumberFormat="1" applyFont="1" applyFill="1" applyBorder="1" applyAlignment="1" applyProtection="1">
      <alignment horizontal="center"/>
      <protection locked="0"/>
    </xf>
    <xf numFmtId="14" fontId="2" fillId="2" borderId="12" xfId="0" applyNumberFormat="1" applyFont="1" applyFill="1" applyBorder="1" applyAlignment="1" applyProtection="1">
      <alignment horizontal="center"/>
      <protection locked="0"/>
    </xf>
    <xf numFmtId="14" fontId="2" fillId="2" borderId="24" xfId="0" applyNumberFormat="1" applyFont="1" applyFill="1" applyBorder="1" applyAlignment="1" applyProtection="1">
      <alignment horizontal="center"/>
      <protection locked="0"/>
    </xf>
    <xf numFmtId="0" fontId="3" fillId="3" borderId="33" xfId="0" applyFont="1" applyFill="1" applyBorder="1" applyAlignment="1">
      <alignment horizontal="center" vertical="center"/>
    </xf>
    <xf numFmtId="0" fontId="3" fillId="3" borderId="12" xfId="0" applyFont="1" applyFill="1" applyBorder="1" applyAlignment="1">
      <alignment horizontal="center" vertical="center"/>
    </xf>
    <xf numFmtId="0" fontId="3" fillId="3" borderId="24" xfId="0" applyFont="1" applyFill="1" applyBorder="1" applyAlignment="1">
      <alignment horizontal="center" vertical="center"/>
    </xf>
    <xf numFmtId="0" fontId="2" fillId="2" borderId="18" xfId="0" applyFont="1" applyFill="1" applyBorder="1" applyAlignment="1" applyProtection="1">
      <alignment horizontal="center" vertical="top" wrapText="1"/>
      <protection locked="0"/>
    </xf>
    <xf numFmtId="0" fontId="2" fillId="2" borderId="19" xfId="0" applyFont="1" applyFill="1" applyBorder="1" applyAlignment="1" applyProtection="1">
      <alignment horizontal="center" vertical="top" wrapText="1"/>
      <protection locked="0"/>
    </xf>
    <xf numFmtId="0" fontId="2" fillId="2" borderId="27" xfId="0" applyFont="1" applyFill="1" applyBorder="1" applyAlignment="1" applyProtection="1">
      <alignment horizontal="center" vertical="top" wrapText="1"/>
      <protection locked="0"/>
    </xf>
    <xf numFmtId="0" fontId="2" fillId="2" borderId="34" xfId="0" applyFont="1" applyFill="1" applyBorder="1" applyAlignment="1" applyProtection="1">
      <alignment horizontal="center" vertical="top" wrapText="1"/>
      <protection locked="0"/>
    </xf>
    <xf numFmtId="0" fontId="2" fillId="2" borderId="0" xfId="0" applyFont="1" applyFill="1" applyAlignment="1" applyProtection="1">
      <alignment horizontal="center" vertical="top" wrapText="1"/>
      <protection locked="0"/>
    </xf>
    <xf numFmtId="0" fontId="2" fillId="2" borderId="26" xfId="0" applyFont="1" applyFill="1" applyBorder="1" applyAlignment="1" applyProtection="1">
      <alignment horizontal="center" vertical="top" wrapText="1"/>
      <protection locked="0"/>
    </xf>
    <xf numFmtId="0" fontId="2" fillId="2" borderId="35" xfId="0" applyFont="1" applyFill="1" applyBorder="1" applyAlignment="1" applyProtection="1">
      <alignment horizontal="center" vertical="top" wrapText="1"/>
      <protection locked="0"/>
    </xf>
    <xf numFmtId="0" fontId="2" fillId="2" borderId="5" xfId="0" applyFont="1" applyFill="1" applyBorder="1" applyAlignment="1" applyProtection="1">
      <alignment horizontal="center" vertical="top" wrapText="1"/>
      <protection locked="0"/>
    </xf>
    <xf numFmtId="0" fontId="2" fillId="2" borderId="36" xfId="0" applyFont="1" applyFill="1" applyBorder="1" applyAlignment="1" applyProtection="1">
      <alignment horizontal="center" vertical="top" wrapText="1"/>
      <protection locked="0"/>
    </xf>
    <xf numFmtId="0" fontId="3" fillId="3" borderId="11"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3" borderId="32" xfId="0" applyFont="1" applyFill="1" applyBorder="1" applyAlignment="1">
      <alignment horizontal="left" vertical="center" wrapText="1"/>
    </xf>
    <xf numFmtId="0" fontId="3" fillId="3" borderId="18" xfId="0" applyFont="1" applyFill="1" applyBorder="1" applyAlignment="1">
      <alignment horizontal="center" vertical="center" wrapText="1"/>
    </xf>
    <xf numFmtId="0" fontId="3" fillId="3" borderId="27" xfId="0" applyFont="1" applyFill="1" applyBorder="1" applyAlignment="1">
      <alignment horizontal="center" vertical="center"/>
    </xf>
    <xf numFmtId="0" fontId="2" fillId="2" borderId="18" xfId="0" applyFont="1" applyFill="1" applyBorder="1" applyAlignment="1" applyProtection="1">
      <alignment horizontal="left" vertical="top" wrapText="1"/>
      <protection locked="0"/>
    </xf>
    <xf numFmtId="0" fontId="2" fillId="2" borderId="19" xfId="0" applyFont="1" applyFill="1" applyBorder="1" applyAlignment="1" applyProtection="1">
      <alignment horizontal="left" vertical="top" wrapText="1"/>
      <protection locked="0"/>
    </xf>
    <xf numFmtId="0" fontId="2" fillId="2" borderId="27" xfId="0" applyFont="1" applyFill="1" applyBorder="1" applyAlignment="1" applyProtection="1">
      <alignment horizontal="left" vertical="top" wrapText="1"/>
      <protection locked="0"/>
    </xf>
    <xf numFmtId="0" fontId="2" fillId="2" borderId="34" xfId="0" applyFont="1" applyFill="1" applyBorder="1" applyAlignment="1" applyProtection="1">
      <alignment horizontal="left" vertical="top" wrapText="1"/>
      <protection locked="0"/>
    </xf>
    <xf numFmtId="0" fontId="2" fillId="2" borderId="0" xfId="0" applyFont="1" applyFill="1" applyAlignment="1" applyProtection="1">
      <alignment horizontal="left" vertical="top" wrapText="1"/>
      <protection locked="0"/>
    </xf>
    <xf numFmtId="0" fontId="2" fillId="2" borderId="26" xfId="0" applyFont="1" applyFill="1" applyBorder="1" applyAlignment="1" applyProtection="1">
      <alignment horizontal="left" vertical="top" wrapText="1"/>
      <protection locked="0"/>
    </xf>
    <xf numFmtId="0" fontId="2" fillId="2" borderId="37" xfId="0" applyFont="1" applyFill="1" applyBorder="1" applyAlignment="1" applyProtection="1">
      <alignment horizontal="left" vertical="top" wrapText="1"/>
      <protection locked="0"/>
    </xf>
    <xf numFmtId="0" fontId="2" fillId="2" borderId="38" xfId="0" applyFont="1" applyFill="1" applyBorder="1" applyAlignment="1" applyProtection="1">
      <alignment horizontal="left" vertical="top" wrapText="1"/>
      <protection locked="0"/>
    </xf>
    <xf numFmtId="0" fontId="2" fillId="2" borderId="39" xfId="0" applyFont="1" applyFill="1" applyBorder="1" applyAlignment="1" applyProtection="1">
      <alignment horizontal="left" vertical="top" wrapText="1"/>
      <protection locked="0"/>
    </xf>
    <xf numFmtId="0" fontId="2" fillId="2" borderId="23" xfId="0" applyFont="1" applyFill="1" applyBorder="1" applyAlignment="1" applyProtection="1">
      <alignment horizontal="center"/>
      <protection locked="0"/>
    </xf>
    <xf numFmtId="0" fontId="2" fillId="2" borderId="12" xfId="0" applyFont="1" applyFill="1" applyBorder="1" applyAlignment="1" applyProtection="1">
      <alignment horizontal="center"/>
      <protection locked="0"/>
    </xf>
    <xf numFmtId="0" fontId="2" fillId="2" borderId="24" xfId="0" applyFont="1" applyFill="1" applyBorder="1" applyAlignment="1" applyProtection="1">
      <alignment horizontal="center"/>
      <protection locked="0"/>
    </xf>
    <xf numFmtId="164" fontId="5" fillId="3" borderId="0" xfId="0" applyNumberFormat="1" applyFont="1" applyFill="1" applyAlignment="1">
      <alignment horizontal="left"/>
    </xf>
    <xf numFmtId="0" fontId="0" fillId="2" borderId="20" xfId="0" applyFill="1" applyBorder="1" applyAlignment="1" applyProtection="1">
      <alignment horizontal="center" vertical="center"/>
      <protection locked="0"/>
    </xf>
    <xf numFmtId="0" fontId="0" fillId="2" borderId="21" xfId="0" applyFill="1" applyBorder="1" applyAlignment="1" applyProtection="1">
      <alignment horizontal="center" vertical="center"/>
      <protection locked="0"/>
    </xf>
    <xf numFmtId="0" fontId="0" fillId="2" borderId="22" xfId="0" applyFill="1" applyBorder="1" applyAlignment="1" applyProtection="1">
      <alignment horizontal="center" vertical="center"/>
      <protection locked="0"/>
    </xf>
    <xf numFmtId="164" fontId="5" fillId="3" borderId="0" xfId="0" applyNumberFormat="1" applyFont="1" applyFill="1" applyAlignment="1">
      <alignment horizontal="center"/>
    </xf>
    <xf numFmtId="0" fontId="5" fillId="3" borderId="0" xfId="0" applyFont="1" applyFill="1" applyAlignment="1">
      <alignment horizontal="center"/>
    </xf>
    <xf numFmtId="0" fontId="0" fillId="3" borderId="0" xfId="0" applyFill="1" applyAlignment="1">
      <alignment horizontal="left" wrapText="1"/>
    </xf>
    <xf numFmtId="0" fontId="0" fillId="3" borderId="0" xfId="0" applyFill="1" applyAlignment="1">
      <alignment horizontal="center"/>
    </xf>
    <xf numFmtId="0" fontId="3" fillId="3" borderId="5" xfId="0" applyFont="1" applyFill="1" applyBorder="1" applyAlignment="1">
      <alignment horizontal="left" vertical="center"/>
    </xf>
    <xf numFmtId="0" fontId="7" fillId="2" borderId="23" xfId="0" applyFont="1" applyFill="1" applyBorder="1" applyAlignment="1" applyProtection="1">
      <alignment horizontal="center" shrinkToFit="1"/>
      <protection locked="0"/>
    </xf>
    <xf numFmtId="0" fontId="7" fillId="2" borderId="12" xfId="0" applyFont="1" applyFill="1" applyBorder="1" applyAlignment="1" applyProtection="1">
      <alignment horizontal="center" shrinkToFit="1"/>
      <protection locked="0"/>
    </xf>
    <xf numFmtId="0" fontId="7" fillId="2" borderId="24" xfId="0" applyFont="1" applyFill="1" applyBorder="1" applyAlignment="1" applyProtection="1">
      <alignment horizontal="center" shrinkToFit="1"/>
      <protection locked="0"/>
    </xf>
    <xf numFmtId="0" fontId="1" fillId="2" borderId="23" xfId="0" applyFont="1" applyFill="1" applyBorder="1" applyAlignment="1" applyProtection="1">
      <alignment horizontal="center"/>
      <protection locked="0"/>
    </xf>
    <xf numFmtId="0" fontId="7" fillId="2" borderId="12" xfId="0" applyFont="1" applyFill="1" applyBorder="1" applyAlignment="1" applyProtection="1">
      <alignment horizontal="center"/>
      <protection locked="0"/>
    </xf>
    <xf numFmtId="0" fontId="7" fillId="2" borderId="24" xfId="0" applyFont="1" applyFill="1" applyBorder="1" applyAlignment="1" applyProtection="1">
      <alignment horizontal="center"/>
      <protection locked="0"/>
    </xf>
    <xf numFmtId="0" fontId="3" fillId="3" borderId="42" xfId="0" applyFont="1" applyFill="1" applyBorder="1" applyAlignment="1">
      <alignment horizontal="center"/>
    </xf>
    <xf numFmtId="0" fontId="3" fillId="3" borderId="43" xfId="0" applyFont="1" applyFill="1" applyBorder="1" applyAlignment="1">
      <alignment horizontal="center"/>
    </xf>
    <xf numFmtId="0" fontId="3" fillId="3" borderId="44" xfId="0" applyFont="1" applyFill="1" applyBorder="1" applyAlignment="1">
      <alignment horizontal="center"/>
    </xf>
    <xf numFmtId="0" fontId="1" fillId="2" borderId="18" xfId="0" applyFont="1" applyFill="1" applyBorder="1" applyAlignment="1" applyProtection="1">
      <alignment horizontal="left" shrinkToFit="1"/>
      <protection locked="0"/>
    </xf>
    <xf numFmtId="0" fontId="0" fillId="2" borderId="19" xfId="0" applyFill="1" applyBorder="1" applyAlignment="1" applyProtection="1">
      <alignment horizontal="left" shrinkToFit="1"/>
      <protection locked="0"/>
    </xf>
    <xf numFmtId="0" fontId="0" fillId="2" borderId="12" xfId="0" applyFill="1" applyBorder="1" applyAlignment="1" applyProtection="1">
      <alignment horizontal="left" shrinkToFit="1"/>
      <protection locked="0"/>
    </xf>
    <xf numFmtId="0" fontId="0" fillId="2" borderId="24" xfId="0" applyFill="1" applyBorder="1" applyAlignment="1" applyProtection="1">
      <alignment horizontal="left" shrinkToFit="1"/>
      <protection locked="0"/>
    </xf>
    <xf numFmtId="0" fontId="7" fillId="2" borderId="41" xfId="0" applyFont="1" applyFill="1" applyBorder="1" applyAlignment="1" applyProtection="1">
      <alignment horizontal="center" shrinkToFit="1"/>
      <protection locked="0"/>
    </xf>
    <xf numFmtId="0" fontId="0" fillId="2" borderId="30" xfId="0" applyFill="1" applyBorder="1" applyAlignment="1" applyProtection="1">
      <alignment horizontal="center" shrinkToFit="1"/>
      <protection locked="0"/>
    </xf>
    <xf numFmtId="0" fontId="0" fillId="2" borderId="31" xfId="0" applyFill="1" applyBorder="1" applyAlignment="1" applyProtection="1">
      <alignment horizontal="center" shrinkToFit="1"/>
      <protection locked="0"/>
    </xf>
    <xf numFmtId="164" fontId="1" fillId="2" borderId="33" xfId="0" applyNumberFormat="1" applyFont="1" applyFill="1" applyBorder="1" applyAlignment="1" applyProtection="1">
      <alignment horizontal="center" vertical="center" wrapText="1"/>
      <protection locked="0"/>
    </xf>
    <xf numFmtId="164" fontId="1" fillId="2" borderId="12" xfId="0" applyNumberFormat="1" applyFont="1" applyFill="1" applyBorder="1" applyAlignment="1" applyProtection="1">
      <alignment horizontal="center" vertical="center" wrapText="1"/>
      <protection locked="0"/>
    </xf>
    <xf numFmtId="164" fontId="1" fillId="2" borderId="24" xfId="0" applyNumberFormat="1" applyFont="1" applyFill="1" applyBorder="1" applyAlignment="1" applyProtection="1">
      <alignment horizontal="center" vertical="center" wrapText="1"/>
      <protection locked="0"/>
    </xf>
    <xf numFmtId="0" fontId="3" fillId="3" borderId="19" xfId="0" applyFont="1" applyFill="1" applyBorder="1" applyAlignment="1">
      <alignment horizontal="center" vertical="center" shrinkToFit="1"/>
    </xf>
    <xf numFmtId="0" fontId="3" fillId="3" borderId="27" xfId="0" applyFont="1" applyFill="1" applyBorder="1" applyAlignment="1">
      <alignment horizontal="center" vertical="center" shrinkToFit="1"/>
    </xf>
    <xf numFmtId="0" fontId="3" fillId="3" borderId="12" xfId="0" applyFont="1" applyFill="1" applyBorder="1" applyAlignment="1">
      <alignment horizontal="right" vertical="center"/>
    </xf>
    <xf numFmtId="0" fontId="3" fillId="3" borderId="24" xfId="0" applyFont="1" applyFill="1" applyBorder="1" applyAlignment="1">
      <alignment horizontal="right" vertical="center"/>
    </xf>
    <xf numFmtId="0" fontId="10" fillId="3" borderId="23" xfId="0" applyFont="1" applyFill="1" applyBorder="1" applyAlignment="1" applyProtection="1">
      <alignment horizontal="right" vertical="center" shrinkToFit="1"/>
      <protection locked="0"/>
    </xf>
    <xf numFmtId="0" fontId="10" fillId="3" borderId="12" xfId="0" applyFont="1" applyFill="1" applyBorder="1" applyAlignment="1" applyProtection="1">
      <alignment horizontal="right" vertical="center" shrinkToFit="1"/>
      <protection locked="0"/>
    </xf>
    <xf numFmtId="0" fontId="10" fillId="3" borderId="24" xfId="0" applyFont="1" applyFill="1" applyBorder="1" applyAlignment="1" applyProtection="1">
      <alignment horizontal="right" vertical="center" shrinkToFit="1"/>
      <protection locked="0"/>
    </xf>
    <xf numFmtId="0" fontId="3" fillId="3" borderId="2" xfId="0" applyFont="1" applyFill="1" applyBorder="1" applyAlignment="1">
      <alignment horizontal="center" vertical="center"/>
    </xf>
    <xf numFmtId="0" fontId="3" fillId="3" borderId="28" xfId="0" applyFont="1" applyFill="1" applyBorder="1" applyAlignment="1">
      <alignment horizontal="center" vertical="center"/>
    </xf>
    <xf numFmtId="0" fontId="1" fillId="3" borderId="29" xfId="0" applyFont="1" applyFill="1" applyBorder="1" applyAlignment="1">
      <alignment horizontal="center" vertical="center"/>
    </xf>
    <xf numFmtId="0" fontId="1" fillId="3" borderId="30" xfId="0" applyFont="1" applyFill="1" applyBorder="1" applyAlignment="1">
      <alignment horizontal="center" vertical="center"/>
    </xf>
    <xf numFmtId="0" fontId="1" fillId="3" borderId="31" xfId="0" applyFont="1" applyFill="1" applyBorder="1" applyAlignment="1">
      <alignment horizontal="center" vertical="center"/>
    </xf>
    <xf numFmtId="0" fontId="0" fillId="3" borderId="0" xfId="0" applyFill="1" applyAlignment="1">
      <alignment horizontal="center" vertical="center" shrinkToFit="1"/>
    </xf>
    <xf numFmtId="0" fontId="0" fillId="3" borderId="26" xfId="0" applyFill="1" applyBorder="1" applyAlignment="1">
      <alignment horizontal="center" vertical="center" shrinkToFit="1"/>
    </xf>
    <xf numFmtId="0" fontId="11" fillId="3" borderId="0" xfId="0" applyFont="1" applyFill="1" applyAlignment="1">
      <alignment horizontal="right" vertical="center"/>
    </xf>
    <xf numFmtId="0" fontId="11" fillId="3" borderId="34" xfId="0" applyFont="1" applyFill="1" applyBorder="1" applyAlignment="1">
      <alignment horizontal="right" vertical="center" wrapText="1"/>
    </xf>
    <xf numFmtId="0" fontId="11" fillId="3" borderId="0" xfId="0" applyFont="1" applyFill="1" applyAlignment="1">
      <alignment horizontal="right" vertical="center" wrapText="1"/>
    </xf>
    <xf numFmtId="0" fontId="7" fillId="2" borderId="23" xfId="0" applyFont="1" applyFill="1" applyBorder="1" applyAlignment="1" applyProtection="1">
      <alignment horizontal="left" vertical="center" shrinkToFit="1"/>
      <protection locked="0"/>
    </xf>
    <xf numFmtId="0" fontId="7" fillId="2" borderId="12" xfId="0" applyFont="1" applyFill="1" applyBorder="1" applyAlignment="1" applyProtection="1">
      <alignment horizontal="left" vertical="center" shrinkToFit="1"/>
      <protection locked="0"/>
    </xf>
    <xf numFmtId="0" fontId="7" fillId="2" borderId="24" xfId="0" applyFont="1" applyFill="1" applyBorder="1" applyAlignment="1" applyProtection="1">
      <alignment horizontal="left" vertical="center" shrinkToFit="1"/>
      <protection locked="0"/>
    </xf>
    <xf numFmtId="0" fontId="3" fillId="3" borderId="14" xfId="0" applyFont="1" applyFill="1" applyBorder="1" applyAlignment="1">
      <alignment horizontal="center" vertical="center" wrapText="1"/>
    </xf>
    <xf numFmtId="0" fontId="3" fillId="3" borderId="16" xfId="0" applyFont="1" applyFill="1" applyBorder="1" applyAlignment="1">
      <alignment horizontal="center" vertical="center" wrapText="1"/>
    </xf>
    <xf numFmtId="44" fontId="12" fillId="3" borderId="15" xfId="1" applyFont="1" applyFill="1" applyBorder="1" applyAlignment="1" applyProtection="1">
      <alignment horizontal="center" vertical="center"/>
      <protection locked="0"/>
    </xf>
    <xf numFmtId="44" fontId="12" fillId="3" borderId="17" xfId="1" applyFont="1" applyFill="1" applyBorder="1" applyAlignment="1" applyProtection="1">
      <alignment horizontal="center" vertical="center"/>
      <protection locked="0"/>
    </xf>
    <xf numFmtId="0" fontId="2" fillId="3" borderId="18" xfId="0" applyFont="1" applyFill="1" applyBorder="1" applyAlignment="1">
      <alignment horizontal="right" vertical="center" wrapText="1"/>
    </xf>
    <xf numFmtId="0" fontId="2" fillId="3" borderId="19" xfId="0" applyFont="1" applyFill="1" applyBorder="1" applyAlignment="1">
      <alignment horizontal="right" vertical="center" wrapText="1"/>
    </xf>
    <xf numFmtId="0" fontId="2" fillId="3" borderId="19" xfId="0" applyFont="1" applyFill="1" applyBorder="1" applyAlignment="1">
      <alignment horizontal="right" vertical="center"/>
    </xf>
    <xf numFmtId="0" fontId="3" fillId="3" borderId="23" xfId="0" applyFont="1" applyFill="1" applyBorder="1" applyAlignment="1">
      <alignment horizontal="left" wrapText="1"/>
    </xf>
    <xf numFmtId="0" fontId="3" fillId="3" borderId="12" xfId="0" applyFont="1" applyFill="1" applyBorder="1" applyAlignment="1">
      <alignment horizontal="left" wrapText="1"/>
    </xf>
    <xf numFmtId="0" fontId="3" fillId="3" borderId="24" xfId="0" applyFont="1" applyFill="1" applyBorder="1" applyAlignment="1">
      <alignment horizontal="left" wrapText="1"/>
    </xf>
    <xf numFmtId="0" fontId="0" fillId="2" borderId="18" xfId="0" applyFill="1" applyBorder="1" applyAlignment="1" applyProtection="1">
      <alignment horizontal="center" vertical="center"/>
      <protection locked="0"/>
    </xf>
    <xf numFmtId="0" fontId="0" fillId="2" borderId="27" xfId="0" applyFill="1" applyBorder="1" applyAlignment="1" applyProtection="1">
      <alignment horizontal="center" vertical="center"/>
      <protection locked="0"/>
    </xf>
    <xf numFmtId="0" fontId="0" fillId="2" borderId="23" xfId="0" applyFill="1" applyBorder="1" applyAlignment="1" applyProtection="1">
      <alignment horizontal="center"/>
      <protection locked="0"/>
    </xf>
    <xf numFmtId="0" fontId="0" fillId="2" borderId="12" xfId="0" applyFill="1" applyBorder="1" applyAlignment="1" applyProtection="1">
      <alignment horizontal="center"/>
      <protection locked="0"/>
    </xf>
    <xf numFmtId="0" fontId="0" fillId="2" borderId="24" xfId="0" applyFill="1" applyBorder="1" applyAlignment="1" applyProtection="1">
      <alignment horizontal="center"/>
      <protection locked="0"/>
    </xf>
    <xf numFmtId="0" fontId="1" fillId="2" borderId="18" xfId="0" applyFont="1" applyFill="1" applyBorder="1" applyAlignment="1" applyProtection="1">
      <alignment horizontal="center"/>
      <protection locked="0"/>
    </xf>
    <xf numFmtId="0" fontId="0" fillId="2" borderId="19" xfId="0" applyFill="1" applyBorder="1" applyAlignment="1" applyProtection="1">
      <alignment horizontal="center"/>
      <protection locked="0"/>
    </xf>
  </cellXfs>
  <cellStyles count="2">
    <cellStyle name="Currency" xfId="1" builtinId="4"/>
    <cellStyle name="Normal" xfId="0" builtinId="0"/>
  </cellStyles>
  <dxfs count="8">
    <dxf>
      <fill>
        <patternFill patternType="gray0625">
          <fgColor rgb="FFFF0000"/>
        </patternFill>
      </fill>
      <border>
        <left style="thin">
          <color rgb="FFFF0000"/>
        </left>
        <right style="thin">
          <color rgb="FFFF0000"/>
        </right>
        <top style="thin">
          <color rgb="FFFF0000"/>
        </top>
        <bottom style="thin">
          <color rgb="FFFF0000"/>
        </bottom>
      </border>
    </dxf>
    <dxf>
      <fill>
        <patternFill patternType="gray0625">
          <fgColor rgb="FFFF0000"/>
        </patternFill>
      </fill>
      <border>
        <left style="thin">
          <color rgb="FFFF0000"/>
        </left>
        <right style="thin">
          <color rgb="FFFF0000"/>
        </right>
        <top style="thin">
          <color rgb="FFFF0000"/>
        </top>
        <bottom style="thin">
          <color rgb="FFFF0000"/>
        </bottom>
      </border>
    </dxf>
    <dxf>
      <font>
        <b val="0"/>
        <i val="0"/>
        <condense val="0"/>
        <extend val="0"/>
      </font>
      <fill>
        <patternFill>
          <bgColor rgb="FFFFCCFF"/>
        </patternFill>
      </fill>
    </dxf>
    <dxf>
      <fill>
        <patternFill patternType="solid">
          <bgColor theme="0" tint="-4.9989318521683403E-2"/>
        </patternFill>
      </fill>
    </dxf>
    <dxf>
      <font>
        <condense val="0"/>
        <extend val="0"/>
        <color indexed="42"/>
      </font>
    </dxf>
    <dxf>
      <fill>
        <patternFill>
          <bgColor indexed="53"/>
        </patternFill>
      </fill>
    </dxf>
    <dxf>
      <fill>
        <patternFill patternType="gray0625">
          <fgColor rgb="FFFF0000"/>
        </patternFill>
      </fill>
      <border>
        <left style="thin">
          <color rgb="FFFF0000"/>
        </left>
        <right style="thin">
          <color rgb="FFFF0000"/>
        </right>
        <top style="thin">
          <color rgb="FFFF0000"/>
        </top>
        <bottom style="thin">
          <color rgb="FFFF0000"/>
        </bottom>
      </border>
    </dxf>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SUMFIR!$AW$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SUMFIR!$AV$2"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5</xdr:col>
      <xdr:colOff>223346</xdr:colOff>
      <xdr:row>101</xdr:row>
      <xdr:rowOff>32833</xdr:rowOff>
    </xdr:from>
    <xdr:to>
      <xdr:col>12</xdr:col>
      <xdr:colOff>203638</xdr:colOff>
      <xdr:row>109</xdr:row>
      <xdr:rowOff>35538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71449" y="16685161"/>
          <a:ext cx="1635672" cy="1250808"/>
        </a:xfrm>
        <a:prstGeom prst="rect">
          <a:avLst/>
        </a:prstGeom>
      </xdr:spPr>
    </xdr:pic>
    <xdr:clientData/>
  </xdr:twoCellAnchor>
  <xdr:twoCellAnchor editAs="oneCell">
    <xdr:from>
      <xdr:col>3</xdr:col>
      <xdr:colOff>228600</xdr:colOff>
      <xdr:row>74</xdr:row>
      <xdr:rowOff>57150</xdr:rowOff>
    </xdr:from>
    <xdr:to>
      <xdr:col>15</xdr:col>
      <xdr:colOff>104775</xdr:colOff>
      <xdr:row>97</xdr:row>
      <xdr:rowOff>47625</xdr:rowOff>
    </xdr:to>
    <xdr:pic>
      <xdr:nvPicPr>
        <xdr:cNvPr id="6151" name="Picture 1">
          <a:extLst>
            <a:ext uri="{FF2B5EF4-FFF2-40B4-BE49-F238E27FC236}">
              <a16:creationId xmlns:a16="http://schemas.microsoft.com/office/drawing/2014/main" id="{00000000-0008-0000-0000-00000718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1550" y="12782550"/>
          <a:ext cx="2705100" cy="3276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1</xdr:row>
      <xdr:rowOff>11113</xdr:rowOff>
    </xdr:from>
    <xdr:to>
      <xdr:col>5</xdr:col>
      <xdr:colOff>149247</xdr:colOff>
      <xdr:row>1</xdr:row>
      <xdr:rowOff>184150</xdr:rowOff>
    </xdr:to>
    <xdr:sp macro="" textlink="">
      <xdr:nvSpPr>
        <xdr:cNvPr id="1029" name="Rectangle 5">
          <a:extLst>
            <a:ext uri="{FF2B5EF4-FFF2-40B4-BE49-F238E27FC236}">
              <a16:creationId xmlns:a16="http://schemas.microsoft.com/office/drawing/2014/main" id="{00000000-0008-0000-0000-000005040000}"/>
            </a:ext>
          </a:extLst>
        </xdr:cNvPr>
        <xdr:cNvSpPr>
          <a:spLocks noChangeArrowheads="1"/>
        </xdr:cNvSpPr>
      </xdr:nvSpPr>
      <xdr:spPr bwMode="auto">
        <a:xfrm>
          <a:off x="0" y="246063"/>
          <a:ext cx="1428750" cy="17303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Field Installation Report</a:t>
          </a:r>
        </a:p>
      </xdr:txBody>
    </xdr:sp>
    <xdr:clientData/>
  </xdr:twoCellAnchor>
  <xdr:twoCellAnchor>
    <xdr:from>
      <xdr:col>1</xdr:col>
      <xdr:colOff>76200</xdr:colOff>
      <xdr:row>69</xdr:row>
      <xdr:rowOff>47625</xdr:rowOff>
    </xdr:from>
    <xdr:to>
      <xdr:col>1</xdr:col>
      <xdr:colOff>209550</xdr:colOff>
      <xdr:row>69</xdr:row>
      <xdr:rowOff>47625</xdr:rowOff>
    </xdr:to>
    <xdr:sp macro="" textlink="">
      <xdr:nvSpPr>
        <xdr:cNvPr id="6153" name="Line 75">
          <a:extLst>
            <a:ext uri="{FF2B5EF4-FFF2-40B4-BE49-F238E27FC236}">
              <a16:creationId xmlns:a16="http://schemas.microsoft.com/office/drawing/2014/main" id="{00000000-0008-0000-0000-000009180000}"/>
            </a:ext>
          </a:extLst>
        </xdr:cNvPr>
        <xdr:cNvSpPr>
          <a:spLocks noChangeShapeType="1"/>
        </xdr:cNvSpPr>
      </xdr:nvSpPr>
      <xdr:spPr bwMode="auto">
        <a:xfrm flipH="1">
          <a:off x="323850" y="12058650"/>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76200</xdr:colOff>
      <xdr:row>69</xdr:row>
      <xdr:rowOff>47625</xdr:rowOff>
    </xdr:from>
    <xdr:to>
      <xdr:col>1</xdr:col>
      <xdr:colOff>76200</xdr:colOff>
      <xdr:row>71</xdr:row>
      <xdr:rowOff>85725</xdr:rowOff>
    </xdr:to>
    <xdr:sp macro="" textlink="">
      <xdr:nvSpPr>
        <xdr:cNvPr id="6154" name="Line 76">
          <a:extLst>
            <a:ext uri="{FF2B5EF4-FFF2-40B4-BE49-F238E27FC236}">
              <a16:creationId xmlns:a16="http://schemas.microsoft.com/office/drawing/2014/main" id="{00000000-0008-0000-0000-00000A180000}"/>
            </a:ext>
          </a:extLst>
        </xdr:cNvPr>
        <xdr:cNvSpPr>
          <a:spLocks noChangeShapeType="1"/>
        </xdr:cNvSpPr>
      </xdr:nvSpPr>
      <xdr:spPr bwMode="auto">
        <a:xfrm>
          <a:off x="323850" y="12058650"/>
          <a:ext cx="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76200</xdr:colOff>
      <xdr:row>71</xdr:row>
      <xdr:rowOff>85725</xdr:rowOff>
    </xdr:from>
    <xdr:to>
      <xdr:col>4</xdr:col>
      <xdr:colOff>28575</xdr:colOff>
      <xdr:row>82</xdr:row>
      <xdr:rowOff>66675</xdr:rowOff>
    </xdr:to>
    <xdr:sp macro="" textlink="">
      <xdr:nvSpPr>
        <xdr:cNvPr id="6155" name="Line 77">
          <a:extLst>
            <a:ext uri="{FF2B5EF4-FFF2-40B4-BE49-F238E27FC236}">
              <a16:creationId xmlns:a16="http://schemas.microsoft.com/office/drawing/2014/main" id="{00000000-0008-0000-0000-00000B180000}"/>
            </a:ext>
          </a:extLst>
        </xdr:cNvPr>
        <xdr:cNvSpPr>
          <a:spLocks noChangeShapeType="1"/>
        </xdr:cNvSpPr>
      </xdr:nvSpPr>
      <xdr:spPr bwMode="auto">
        <a:xfrm flipH="1" flipV="1">
          <a:off x="323850" y="12382500"/>
          <a:ext cx="695325" cy="1552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85725</xdr:colOff>
      <xdr:row>71</xdr:row>
      <xdr:rowOff>47625</xdr:rowOff>
    </xdr:from>
    <xdr:to>
      <xdr:col>5</xdr:col>
      <xdr:colOff>228600</xdr:colOff>
      <xdr:row>71</xdr:row>
      <xdr:rowOff>47625</xdr:rowOff>
    </xdr:to>
    <xdr:sp macro="" textlink="">
      <xdr:nvSpPr>
        <xdr:cNvPr id="6156" name="Line 78">
          <a:extLst>
            <a:ext uri="{FF2B5EF4-FFF2-40B4-BE49-F238E27FC236}">
              <a16:creationId xmlns:a16="http://schemas.microsoft.com/office/drawing/2014/main" id="{00000000-0008-0000-0000-00000C180000}"/>
            </a:ext>
          </a:extLst>
        </xdr:cNvPr>
        <xdr:cNvSpPr>
          <a:spLocks noChangeShapeType="1"/>
        </xdr:cNvSpPr>
      </xdr:nvSpPr>
      <xdr:spPr bwMode="auto">
        <a:xfrm flipH="1">
          <a:off x="1323975" y="123444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85725</xdr:colOff>
      <xdr:row>71</xdr:row>
      <xdr:rowOff>47625</xdr:rowOff>
    </xdr:from>
    <xdr:to>
      <xdr:col>5</xdr:col>
      <xdr:colOff>85725</xdr:colOff>
      <xdr:row>72</xdr:row>
      <xdr:rowOff>28575</xdr:rowOff>
    </xdr:to>
    <xdr:sp macro="" textlink="">
      <xdr:nvSpPr>
        <xdr:cNvPr id="6157" name="Line 79">
          <a:extLst>
            <a:ext uri="{FF2B5EF4-FFF2-40B4-BE49-F238E27FC236}">
              <a16:creationId xmlns:a16="http://schemas.microsoft.com/office/drawing/2014/main" id="{00000000-0008-0000-0000-00000D180000}"/>
            </a:ext>
          </a:extLst>
        </xdr:cNvPr>
        <xdr:cNvSpPr>
          <a:spLocks noChangeShapeType="1"/>
        </xdr:cNvSpPr>
      </xdr:nvSpPr>
      <xdr:spPr bwMode="auto">
        <a:xfrm>
          <a:off x="1323975" y="12344400"/>
          <a:ext cx="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85725</xdr:colOff>
      <xdr:row>72</xdr:row>
      <xdr:rowOff>28575</xdr:rowOff>
    </xdr:from>
    <xdr:to>
      <xdr:col>6</xdr:col>
      <xdr:colOff>133350</xdr:colOff>
      <xdr:row>77</xdr:row>
      <xdr:rowOff>114300</xdr:rowOff>
    </xdr:to>
    <xdr:sp macro="" textlink="">
      <xdr:nvSpPr>
        <xdr:cNvPr id="6158" name="Line 80">
          <a:extLst>
            <a:ext uri="{FF2B5EF4-FFF2-40B4-BE49-F238E27FC236}">
              <a16:creationId xmlns:a16="http://schemas.microsoft.com/office/drawing/2014/main" id="{00000000-0008-0000-0000-00000E180000}"/>
            </a:ext>
          </a:extLst>
        </xdr:cNvPr>
        <xdr:cNvSpPr>
          <a:spLocks noChangeShapeType="1"/>
        </xdr:cNvSpPr>
      </xdr:nvSpPr>
      <xdr:spPr bwMode="auto">
        <a:xfrm>
          <a:off x="1323975" y="12468225"/>
          <a:ext cx="28575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9525</xdr:colOff>
      <xdr:row>99</xdr:row>
      <xdr:rowOff>47625</xdr:rowOff>
    </xdr:from>
    <xdr:to>
      <xdr:col>10</xdr:col>
      <xdr:colOff>180975</xdr:colOff>
      <xdr:row>99</xdr:row>
      <xdr:rowOff>47625</xdr:rowOff>
    </xdr:to>
    <xdr:sp macro="" textlink="">
      <xdr:nvSpPr>
        <xdr:cNvPr id="6159" name="Line 84">
          <a:extLst>
            <a:ext uri="{FF2B5EF4-FFF2-40B4-BE49-F238E27FC236}">
              <a16:creationId xmlns:a16="http://schemas.microsoft.com/office/drawing/2014/main" id="{00000000-0008-0000-0000-00000F180000}"/>
            </a:ext>
          </a:extLst>
        </xdr:cNvPr>
        <xdr:cNvSpPr>
          <a:spLocks noChangeShapeType="1"/>
        </xdr:cNvSpPr>
      </xdr:nvSpPr>
      <xdr:spPr bwMode="auto">
        <a:xfrm flipH="1">
          <a:off x="2438400" y="16344900"/>
          <a:ext cx="171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85725</xdr:colOff>
      <xdr:row>94</xdr:row>
      <xdr:rowOff>66675</xdr:rowOff>
    </xdr:from>
    <xdr:to>
      <xdr:col>10</xdr:col>
      <xdr:colOff>9525</xdr:colOff>
      <xdr:row>99</xdr:row>
      <xdr:rowOff>47625</xdr:rowOff>
    </xdr:to>
    <xdr:sp macro="" textlink="">
      <xdr:nvSpPr>
        <xdr:cNvPr id="6160" name="Line 85">
          <a:extLst>
            <a:ext uri="{FF2B5EF4-FFF2-40B4-BE49-F238E27FC236}">
              <a16:creationId xmlns:a16="http://schemas.microsoft.com/office/drawing/2014/main" id="{00000000-0008-0000-0000-000010180000}"/>
            </a:ext>
          </a:extLst>
        </xdr:cNvPr>
        <xdr:cNvSpPr>
          <a:spLocks noChangeShapeType="1"/>
        </xdr:cNvSpPr>
      </xdr:nvSpPr>
      <xdr:spPr bwMode="auto">
        <a:xfrm flipH="1" flipV="1">
          <a:off x="2276475" y="15649575"/>
          <a:ext cx="161925" cy="695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9525</xdr:colOff>
      <xdr:row>94</xdr:row>
      <xdr:rowOff>57150</xdr:rowOff>
    </xdr:from>
    <xdr:to>
      <xdr:col>10</xdr:col>
      <xdr:colOff>47625</xdr:colOff>
      <xdr:row>99</xdr:row>
      <xdr:rowOff>47625</xdr:rowOff>
    </xdr:to>
    <xdr:sp macro="" textlink="">
      <xdr:nvSpPr>
        <xdr:cNvPr id="6161" name="Line 86">
          <a:extLst>
            <a:ext uri="{FF2B5EF4-FFF2-40B4-BE49-F238E27FC236}">
              <a16:creationId xmlns:a16="http://schemas.microsoft.com/office/drawing/2014/main" id="{00000000-0008-0000-0000-000011180000}"/>
            </a:ext>
          </a:extLst>
        </xdr:cNvPr>
        <xdr:cNvSpPr>
          <a:spLocks noChangeShapeType="1"/>
        </xdr:cNvSpPr>
      </xdr:nvSpPr>
      <xdr:spPr bwMode="auto">
        <a:xfrm flipV="1">
          <a:off x="2438400" y="15640050"/>
          <a:ext cx="38100" cy="704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85725</xdr:colOff>
      <xdr:row>72</xdr:row>
      <xdr:rowOff>47625</xdr:rowOff>
    </xdr:from>
    <xdr:to>
      <xdr:col>8</xdr:col>
      <xdr:colOff>228600</xdr:colOff>
      <xdr:row>72</xdr:row>
      <xdr:rowOff>47625</xdr:rowOff>
    </xdr:to>
    <xdr:sp macro="" textlink="">
      <xdr:nvSpPr>
        <xdr:cNvPr id="6162" name="Line 172">
          <a:extLst>
            <a:ext uri="{FF2B5EF4-FFF2-40B4-BE49-F238E27FC236}">
              <a16:creationId xmlns:a16="http://schemas.microsoft.com/office/drawing/2014/main" id="{00000000-0008-0000-0000-000012180000}"/>
            </a:ext>
          </a:extLst>
        </xdr:cNvPr>
        <xdr:cNvSpPr>
          <a:spLocks noChangeShapeType="1"/>
        </xdr:cNvSpPr>
      </xdr:nvSpPr>
      <xdr:spPr bwMode="auto">
        <a:xfrm flipH="1">
          <a:off x="2038350" y="12487275"/>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85725</xdr:colOff>
      <xdr:row>72</xdr:row>
      <xdr:rowOff>47625</xdr:rowOff>
    </xdr:from>
    <xdr:to>
      <xdr:col>11</xdr:col>
      <xdr:colOff>123825</xdr:colOff>
      <xdr:row>78</xdr:row>
      <xdr:rowOff>0</xdr:rowOff>
    </xdr:to>
    <xdr:sp macro="" textlink="">
      <xdr:nvSpPr>
        <xdr:cNvPr id="6163" name="Line 173">
          <a:extLst>
            <a:ext uri="{FF2B5EF4-FFF2-40B4-BE49-F238E27FC236}">
              <a16:creationId xmlns:a16="http://schemas.microsoft.com/office/drawing/2014/main" id="{00000000-0008-0000-0000-000013180000}"/>
            </a:ext>
          </a:extLst>
        </xdr:cNvPr>
        <xdr:cNvSpPr>
          <a:spLocks noChangeShapeType="1"/>
        </xdr:cNvSpPr>
      </xdr:nvSpPr>
      <xdr:spPr bwMode="auto">
        <a:xfrm>
          <a:off x="2038350" y="12487275"/>
          <a:ext cx="752475" cy="809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104775</xdr:colOff>
      <xdr:row>78</xdr:row>
      <xdr:rowOff>38100</xdr:rowOff>
    </xdr:from>
    <xdr:to>
      <xdr:col>19</xdr:col>
      <xdr:colOff>0</xdr:colOff>
      <xdr:row>79</xdr:row>
      <xdr:rowOff>28575</xdr:rowOff>
    </xdr:to>
    <xdr:sp macro="" textlink="">
      <xdr:nvSpPr>
        <xdr:cNvPr id="6164" name="Line 174">
          <a:extLst>
            <a:ext uri="{FF2B5EF4-FFF2-40B4-BE49-F238E27FC236}">
              <a16:creationId xmlns:a16="http://schemas.microsoft.com/office/drawing/2014/main" id="{00000000-0008-0000-0000-000014180000}"/>
            </a:ext>
          </a:extLst>
        </xdr:cNvPr>
        <xdr:cNvSpPr>
          <a:spLocks noChangeShapeType="1"/>
        </xdr:cNvSpPr>
      </xdr:nvSpPr>
      <xdr:spPr bwMode="auto">
        <a:xfrm flipH="1" flipV="1">
          <a:off x="3676650" y="13335000"/>
          <a:ext cx="8477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133350</xdr:colOff>
      <xdr:row>79</xdr:row>
      <xdr:rowOff>28575</xdr:rowOff>
    </xdr:from>
    <xdr:to>
      <xdr:col>19</xdr:col>
      <xdr:colOff>0</xdr:colOff>
      <xdr:row>79</xdr:row>
      <xdr:rowOff>104775</xdr:rowOff>
    </xdr:to>
    <xdr:sp macro="" textlink="">
      <xdr:nvSpPr>
        <xdr:cNvPr id="6165" name="Line 175">
          <a:extLst>
            <a:ext uri="{FF2B5EF4-FFF2-40B4-BE49-F238E27FC236}">
              <a16:creationId xmlns:a16="http://schemas.microsoft.com/office/drawing/2014/main" id="{00000000-0008-0000-0000-000015180000}"/>
            </a:ext>
          </a:extLst>
        </xdr:cNvPr>
        <xdr:cNvSpPr>
          <a:spLocks noChangeShapeType="1"/>
        </xdr:cNvSpPr>
      </xdr:nvSpPr>
      <xdr:spPr bwMode="auto">
        <a:xfrm flipH="1">
          <a:off x="3705225" y="13468350"/>
          <a:ext cx="81915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9525</xdr:colOff>
      <xdr:row>78</xdr:row>
      <xdr:rowOff>104775</xdr:rowOff>
    </xdr:from>
    <xdr:to>
      <xdr:col>26</xdr:col>
      <xdr:colOff>142875</xdr:colOff>
      <xdr:row>83</xdr:row>
      <xdr:rowOff>9525</xdr:rowOff>
    </xdr:to>
    <xdr:sp macro="" textlink="">
      <xdr:nvSpPr>
        <xdr:cNvPr id="1200" name="Rectangle 176">
          <a:extLst>
            <a:ext uri="{FF2B5EF4-FFF2-40B4-BE49-F238E27FC236}">
              <a16:creationId xmlns:a16="http://schemas.microsoft.com/office/drawing/2014/main" id="{00000000-0008-0000-0000-0000B0040000}"/>
            </a:ext>
          </a:extLst>
        </xdr:cNvPr>
        <xdr:cNvSpPr>
          <a:spLocks noChangeArrowheads="1"/>
        </xdr:cNvSpPr>
      </xdr:nvSpPr>
      <xdr:spPr bwMode="auto">
        <a:xfrm>
          <a:off x="4533900" y="13268325"/>
          <a:ext cx="1800225" cy="619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 start another paragraph in the same cell of Excel press 'Alt'+'Enter'</a:t>
          </a:r>
        </a:p>
      </xdr:txBody>
    </xdr:sp>
    <xdr:clientData/>
  </xdr:twoCellAnchor>
  <xdr:twoCellAnchor>
    <xdr:from>
      <xdr:col>10</xdr:col>
      <xdr:colOff>198120</xdr:colOff>
      <xdr:row>98</xdr:row>
      <xdr:rowOff>123825</xdr:rowOff>
    </xdr:from>
    <xdr:to>
      <xdr:col>26</xdr:col>
      <xdr:colOff>38112</xdr:colOff>
      <xdr:row>100</xdr:row>
      <xdr:rowOff>76200</xdr:rowOff>
    </xdr:to>
    <xdr:sp macro="" textlink="">
      <xdr:nvSpPr>
        <xdr:cNvPr id="1201" name="Rectangle 177">
          <a:extLst>
            <a:ext uri="{FF2B5EF4-FFF2-40B4-BE49-F238E27FC236}">
              <a16:creationId xmlns:a16="http://schemas.microsoft.com/office/drawing/2014/main" id="{00000000-0008-0000-0000-0000B1040000}"/>
            </a:ext>
          </a:extLst>
        </xdr:cNvPr>
        <xdr:cNvSpPr>
          <a:spLocks noChangeArrowheads="1"/>
        </xdr:cNvSpPr>
      </xdr:nvSpPr>
      <xdr:spPr bwMode="auto">
        <a:xfrm>
          <a:off x="2628900" y="16144875"/>
          <a:ext cx="360045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Travel time is shown in "TT" box and Warranty is in W" box.</a:t>
          </a:r>
        </a:p>
      </xdr:txBody>
    </xdr:sp>
    <xdr:clientData/>
  </xdr:twoCellAnchor>
  <xdr:twoCellAnchor>
    <xdr:from>
      <xdr:col>13</xdr:col>
      <xdr:colOff>66675</xdr:colOff>
      <xdr:row>59</xdr:row>
      <xdr:rowOff>209550</xdr:rowOff>
    </xdr:from>
    <xdr:to>
      <xdr:col>25</xdr:col>
      <xdr:colOff>47625</xdr:colOff>
      <xdr:row>63</xdr:row>
      <xdr:rowOff>0</xdr:rowOff>
    </xdr:to>
    <xdr:grpSp>
      <xdr:nvGrpSpPr>
        <xdr:cNvPr id="6168" name="Group 235">
          <a:extLst>
            <a:ext uri="{FF2B5EF4-FFF2-40B4-BE49-F238E27FC236}">
              <a16:creationId xmlns:a16="http://schemas.microsoft.com/office/drawing/2014/main" id="{00000000-0008-0000-0000-000018180000}"/>
            </a:ext>
          </a:extLst>
        </xdr:cNvPr>
        <xdr:cNvGrpSpPr>
          <a:grpSpLocks/>
        </xdr:cNvGrpSpPr>
      </xdr:nvGrpSpPr>
      <xdr:grpSpPr bwMode="auto">
        <a:xfrm>
          <a:off x="3292885" y="10324485"/>
          <a:ext cx="2881466" cy="601612"/>
          <a:chOff x="240" y="1076"/>
          <a:chExt cx="298" cy="58"/>
        </a:xfrm>
      </xdr:grpSpPr>
      <xdr:sp macro="" textlink="">
        <xdr:nvSpPr>
          <xdr:cNvPr id="1256" name="Rectangle 232">
            <a:extLst>
              <a:ext uri="{FF2B5EF4-FFF2-40B4-BE49-F238E27FC236}">
                <a16:creationId xmlns:a16="http://schemas.microsoft.com/office/drawing/2014/main" id="{00000000-0008-0000-0000-0000E8040000}"/>
              </a:ext>
            </a:extLst>
          </xdr:cNvPr>
          <xdr:cNvSpPr>
            <a:spLocks noChangeArrowheads="1"/>
          </xdr:cNvSpPr>
        </xdr:nvSpPr>
        <xdr:spPr bwMode="auto">
          <a:xfrm>
            <a:off x="240" y="1107"/>
            <a:ext cx="123" cy="2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Project Number</a:t>
            </a:r>
          </a:p>
        </xdr:txBody>
      </xdr:sp>
      <xdr:sp macro="" textlink="">
        <xdr:nvSpPr>
          <xdr:cNvPr id="1257" name="Rectangle 233">
            <a:extLst>
              <a:ext uri="{FF2B5EF4-FFF2-40B4-BE49-F238E27FC236}">
                <a16:creationId xmlns:a16="http://schemas.microsoft.com/office/drawing/2014/main" id="{00000000-0008-0000-0000-0000E9040000}"/>
              </a:ext>
            </a:extLst>
          </xdr:cNvPr>
          <xdr:cNvSpPr>
            <a:spLocks noChangeArrowheads="1"/>
          </xdr:cNvSpPr>
        </xdr:nvSpPr>
        <xdr:spPr bwMode="auto">
          <a:xfrm>
            <a:off x="268" y="1092"/>
            <a:ext cx="240" cy="2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Date, first date entered in FIR, yr,mo,dy</a:t>
            </a:r>
          </a:p>
        </xdr:txBody>
      </xdr:sp>
      <xdr:sp macro="" textlink="">
        <xdr:nvSpPr>
          <xdr:cNvPr id="1258" name="Rectangle 234">
            <a:extLst>
              <a:ext uri="{FF2B5EF4-FFF2-40B4-BE49-F238E27FC236}">
                <a16:creationId xmlns:a16="http://schemas.microsoft.com/office/drawing/2014/main" id="{00000000-0008-0000-0000-0000EA040000}"/>
              </a:ext>
            </a:extLst>
          </xdr:cNvPr>
          <xdr:cNvSpPr>
            <a:spLocks noChangeArrowheads="1"/>
          </xdr:cNvSpPr>
        </xdr:nvSpPr>
        <xdr:spPr bwMode="auto">
          <a:xfrm>
            <a:off x="295" y="1076"/>
            <a:ext cx="243" cy="2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Your employee number</a:t>
            </a:r>
          </a:p>
        </xdr:txBody>
      </xdr:sp>
    </xdr:grpSp>
    <xdr:clientData/>
  </xdr:twoCellAnchor>
  <xdr:twoCellAnchor>
    <xdr:from>
      <xdr:col>15</xdr:col>
      <xdr:colOff>47625</xdr:colOff>
      <xdr:row>59</xdr:row>
      <xdr:rowOff>295275</xdr:rowOff>
    </xdr:from>
    <xdr:to>
      <xdr:col>15</xdr:col>
      <xdr:colOff>142875</xdr:colOff>
      <xdr:row>59</xdr:row>
      <xdr:rowOff>295275</xdr:rowOff>
    </xdr:to>
    <xdr:sp macro="" textlink="">
      <xdr:nvSpPr>
        <xdr:cNvPr id="6169" name="Line 236">
          <a:extLst>
            <a:ext uri="{FF2B5EF4-FFF2-40B4-BE49-F238E27FC236}">
              <a16:creationId xmlns:a16="http://schemas.microsoft.com/office/drawing/2014/main" id="{00000000-0008-0000-0000-000019180000}"/>
            </a:ext>
          </a:extLst>
        </xdr:cNvPr>
        <xdr:cNvSpPr>
          <a:spLocks noChangeShapeType="1"/>
        </xdr:cNvSpPr>
      </xdr:nvSpPr>
      <xdr:spPr bwMode="auto">
        <a:xfrm flipH="1">
          <a:off x="3619500" y="10610850"/>
          <a:ext cx="95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171450</xdr:colOff>
      <xdr:row>60</xdr:row>
      <xdr:rowOff>57150</xdr:rowOff>
    </xdr:from>
    <xdr:to>
      <xdr:col>14</xdr:col>
      <xdr:colOff>76200</xdr:colOff>
      <xdr:row>60</xdr:row>
      <xdr:rowOff>57150</xdr:rowOff>
    </xdr:to>
    <xdr:sp macro="" textlink="">
      <xdr:nvSpPr>
        <xdr:cNvPr id="6170" name="Line 237">
          <a:extLst>
            <a:ext uri="{FF2B5EF4-FFF2-40B4-BE49-F238E27FC236}">
              <a16:creationId xmlns:a16="http://schemas.microsoft.com/office/drawing/2014/main" id="{00000000-0008-0000-0000-00001A180000}"/>
            </a:ext>
          </a:extLst>
        </xdr:cNvPr>
        <xdr:cNvSpPr>
          <a:spLocks noChangeShapeType="1"/>
        </xdr:cNvSpPr>
      </xdr:nvSpPr>
      <xdr:spPr bwMode="auto">
        <a:xfrm flipH="1">
          <a:off x="3314700" y="107823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152400</xdr:colOff>
      <xdr:row>61</xdr:row>
      <xdr:rowOff>66675</xdr:rowOff>
    </xdr:from>
    <xdr:to>
      <xdr:col>13</xdr:col>
      <xdr:colOff>57150</xdr:colOff>
      <xdr:row>61</xdr:row>
      <xdr:rowOff>66675</xdr:rowOff>
    </xdr:to>
    <xdr:sp macro="" textlink="">
      <xdr:nvSpPr>
        <xdr:cNvPr id="6171" name="Line 238">
          <a:extLst>
            <a:ext uri="{FF2B5EF4-FFF2-40B4-BE49-F238E27FC236}">
              <a16:creationId xmlns:a16="http://schemas.microsoft.com/office/drawing/2014/main" id="{00000000-0008-0000-0000-00001B180000}"/>
            </a:ext>
          </a:extLst>
        </xdr:cNvPr>
        <xdr:cNvSpPr>
          <a:spLocks noChangeShapeType="1"/>
        </xdr:cNvSpPr>
      </xdr:nvSpPr>
      <xdr:spPr bwMode="auto">
        <a:xfrm flipH="1">
          <a:off x="3057525" y="109347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47625</xdr:colOff>
      <xdr:row>59</xdr:row>
      <xdr:rowOff>28575</xdr:rowOff>
    </xdr:from>
    <xdr:to>
      <xdr:col>15</xdr:col>
      <xdr:colOff>57150</xdr:colOff>
      <xdr:row>59</xdr:row>
      <xdr:rowOff>295275</xdr:rowOff>
    </xdr:to>
    <xdr:sp macro="" textlink="">
      <xdr:nvSpPr>
        <xdr:cNvPr id="6172" name="Line 239">
          <a:extLst>
            <a:ext uri="{FF2B5EF4-FFF2-40B4-BE49-F238E27FC236}">
              <a16:creationId xmlns:a16="http://schemas.microsoft.com/office/drawing/2014/main" id="{00000000-0008-0000-0000-00001C180000}"/>
            </a:ext>
          </a:extLst>
        </xdr:cNvPr>
        <xdr:cNvSpPr>
          <a:spLocks noChangeShapeType="1"/>
        </xdr:cNvSpPr>
      </xdr:nvSpPr>
      <xdr:spPr bwMode="auto">
        <a:xfrm flipH="1" flipV="1">
          <a:off x="3619500" y="10344150"/>
          <a:ext cx="9525"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13</xdr:col>
      <xdr:colOff>19050</xdr:colOff>
      <xdr:row>59</xdr:row>
      <xdr:rowOff>19050</xdr:rowOff>
    </xdr:from>
    <xdr:to>
      <xdr:col>13</xdr:col>
      <xdr:colOff>171450</xdr:colOff>
      <xdr:row>60</xdr:row>
      <xdr:rowOff>57150</xdr:rowOff>
    </xdr:to>
    <xdr:sp macro="" textlink="">
      <xdr:nvSpPr>
        <xdr:cNvPr id="6173" name="Line 240">
          <a:extLst>
            <a:ext uri="{FF2B5EF4-FFF2-40B4-BE49-F238E27FC236}">
              <a16:creationId xmlns:a16="http://schemas.microsoft.com/office/drawing/2014/main" id="{00000000-0008-0000-0000-00001D180000}"/>
            </a:ext>
          </a:extLst>
        </xdr:cNvPr>
        <xdr:cNvSpPr>
          <a:spLocks noChangeShapeType="1"/>
        </xdr:cNvSpPr>
      </xdr:nvSpPr>
      <xdr:spPr bwMode="auto">
        <a:xfrm flipH="1" flipV="1">
          <a:off x="3162300" y="10334625"/>
          <a:ext cx="152400" cy="447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11</xdr:col>
      <xdr:colOff>38100</xdr:colOff>
      <xdr:row>59</xdr:row>
      <xdr:rowOff>9525</xdr:rowOff>
    </xdr:from>
    <xdr:to>
      <xdr:col>12</xdr:col>
      <xdr:colOff>142875</xdr:colOff>
      <xdr:row>61</xdr:row>
      <xdr:rowOff>66675</xdr:rowOff>
    </xdr:to>
    <xdr:sp macro="" textlink="">
      <xdr:nvSpPr>
        <xdr:cNvPr id="6174" name="Line 241">
          <a:extLst>
            <a:ext uri="{FF2B5EF4-FFF2-40B4-BE49-F238E27FC236}">
              <a16:creationId xmlns:a16="http://schemas.microsoft.com/office/drawing/2014/main" id="{00000000-0008-0000-0000-00001E180000}"/>
            </a:ext>
          </a:extLst>
        </xdr:cNvPr>
        <xdr:cNvSpPr>
          <a:spLocks noChangeShapeType="1"/>
        </xdr:cNvSpPr>
      </xdr:nvSpPr>
      <xdr:spPr bwMode="auto">
        <a:xfrm flipH="1" flipV="1">
          <a:off x="2705100" y="10325100"/>
          <a:ext cx="342900" cy="609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14</xdr:col>
      <xdr:colOff>38100</xdr:colOff>
      <xdr:row>83</xdr:row>
      <xdr:rowOff>104775</xdr:rowOff>
    </xdr:from>
    <xdr:to>
      <xdr:col>25</xdr:col>
      <xdr:colOff>188613</xdr:colOff>
      <xdr:row>86</xdr:row>
      <xdr:rowOff>28575</xdr:rowOff>
    </xdr:to>
    <xdr:sp macro="" textlink="">
      <xdr:nvSpPr>
        <xdr:cNvPr id="1266" name="Rectangle 242">
          <a:extLst>
            <a:ext uri="{FF2B5EF4-FFF2-40B4-BE49-F238E27FC236}">
              <a16:creationId xmlns:a16="http://schemas.microsoft.com/office/drawing/2014/main" id="{00000000-0008-0000-0000-0000F2040000}"/>
            </a:ext>
          </a:extLst>
        </xdr:cNvPr>
        <xdr:cNvSpPr>
          <a:spLocks noChangeArrowheads="1"/>
        </xdr:cNvSpPr>
      </xdr:nvSpPr>
      <xdr:spPr bwMode="auto">
        <a:xfrm>
          <a:off x="3419475" y="13982700"/>
          <a:ext cx="2724150"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Open space, can be used for daily signoff or other codes.</a:t>
          </a:r>
        </a:p>
      </xdr:txBody>
    </xdr:sp>
    <xdr:clientData/>
  </xdr:twoCellAnchor>
  <xdr:twoCellAnchor>
    <xdr:from>
      <xdr:col>10</xdr:col>
      <xdr:colOff>161925</xdr:colOff>
      <xdr:row>84</xdr:row>
      <xdr:rowOff>57150</xdr:rowOff>
    </xdr:from>
    <xdr:to>
      <xdr:col>14</xdr:col>
      <xdr:colOff>19050</xdr:colOff>
      <xdr:row>85</xdr:row>
      <xdr:rowOff>76200</xdr:rowOff>
    </xdr:to>
    <xdr:sp macro="" textlink="">
      <xdr:nvSpPr>
        <xdr:cNvPr id="6176" name="Line 243">
          <a:extLst>
            <a:ext uri="{FF2B5EF4-FFF2-40B4-BE49-F238E27FC236}">
              <a16:creationId xmlns:a16="http://schemas.microsoft.com/office/drawing/2014/main" id="{00000000-0008-0000-0000-000020180000}"/>
            </a:ext>
          </a:extLst>
        </xdr:cNvPr>
        <xdr:cNvSpPr>
          <a:spLocks noChangeShapeType="1"/>
        </xdr:cNvSpPr>
      </xdr:nvSpPr>
      <xdr:spPr bwMode="auto">
        <a:xfrm flipH="1">
          <a:off x="2590800" y="14211300"/>
          <a:ext cx="809625"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3</xdr:col>
      <xdr:colOff>85725</xdr:colOff>
      <xdr:row>60</xdr:row>
      <xdr:rowOff>66675</xdr:rowOff>
    </xdr:from>
    <xdr:to>
      <xdr:col>10</xdr:col>
      <xdr:colOff>47625</xdr:colOff>
      <xdr:row>67</xdr:row>
      <xdr:rowOff>76200</xdr:rowOff>
    </xdr:to>
    <xdr:pic>
      <xdr:nvPicPr>
        <xdr:cNvPr id="6177" name="Picture 246">
          <a:extLst>
            <a:ext uri="{FF2B5EF4-FFF2-40B4-BE49-F238E27FC236}">
              <a16:creationId xmlns:a16="http://schemas.microsoft.com/office/drawing/2014/main" id="{00000000-0008-0000-0000-00002118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8675" y="10791825"/>
          <a:ext cx="1647825" cy="1009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104775</xdr:colOff>
      <xdr:row>64</xdr:row>
      <xdr:rowOff>28575</xdr:rowOff>
    </xdr:from>
    <xdr:to>
      <xdr:col>4</xdr:col>
      <xdr:colOff>19050</xdr:colOff>
      <xdr:row>65</xdr:row>
      <xdr:rowOff>133350</xdr:rowOff>
    </xdr:to>
    <xdr:sp macro="" textlink="">
      <xdr:nvSpPr>
        <xdr:cNvPr id="6178" name="Line 247">
          <a:extLst>
            <a:ext uri="{FF2B5EF4-FFF2-40B4-BE49-F238E27FC236}">
              <a16:creationId xmlns:a16="http://schemas.microsoft.com/office/drawing/2014/main" id="{00000000-0008-0000-0000-000022180000}"/>
            </a:ext>
          </a:extLst>
        </xdr:cNvPr>
        <xdr:cNvSpPr>
          <a:spLocks noChangeShapeType="1"/>
        </xdr:cNvSpPr>
      </xdr:nvSpPr>
      <xdr:spPr bwMode="auto">
        <a:xfrm>
          <a:off x="352425" y="11325225"/>
          <a:ext cx="657225" cy="247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95250</xdr:colOff>
      <xdr:row>60</xdr:row>
      <xdr:rowOff>19050</xdr:rowOff>
    </xdr:from>
    <xdr:to>
      <xdr:col>1</xdr:col>
      <xdr:colOff>95250</xdr:colOff>
      <xdr:row>64</xdr:row>
      <xdr:rowOff>28575</xdr:rowOff>
    </xdr:to>
    <xdr:sp macro="" textlink="">
      <xdr:nvSpPr>
        <xdr:cNvPr id="6179" name="Line 248">
          <a:extLst>
            <a:ext uri="{FF2B5EF4-FFF2-40B4-BE49-F238E27FC236}">
              <a16:creationId xmlns:a16="http://schemas.microsoft.com/office/drawing/2014/main" id="{00000000-0008-0000-0000-000023180000}"/>
            </a:ext>
          </a:extLst>
        </xdr:cNvPr>
        <xdr:cNvSpPr>
          <a:spLocks noChangeShapeType="1"/>
        </xdr:cNvSpPr>
      </xdr:nvSpPr>
      <xdr:spPr bwMode="auto">
        <a:xfrm flipV="1">
          <a:off x="342900" y="10744200"/>
          <a:ext cx="0" cy="581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0</xdr:colOff>
      <xdr:row>0</xdr:row>
      <xdr:rowOff>28575</xdr:rowOff>
    </xdr:from>
    <xdr:to>
      <xdr:col>5</xdr:col>
      <xdr:colOff>142875</xdr:colOff>
      <xdr:row>1</xdr:row>
      <xdr:rowOff>47625</xdr:rowOff>
    </xdr:to>
    <xdr:pic>
      <xdr:nvPicPr>
        <xdr:cNvPr id="6180" name="Picture 1">
          <a:extLst>
            <a:ext uri="{FF2B5EF4-FFF2-40B4-BE49-F238E27FC236}">
              <a16:creationId xmlns:a16="http://schemas.microsoft.com/office/drawing/2014/main" id="{00000000-0008-0000-0000-00002418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0" y="28575"/>
          <a:ext cx="138112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22</xdr:col>
          <xdr:colOff>0</xdr:colOff>
          <xdr:row>3</xdr:row>
          <xdr:rowOff>0</xdr:rowOff>
        </xdr:from>
        <xdr:to>
          <xdr:col>27</xdr:col>
          <xdr:colOff>0</xdr:colOff>
          <xdr:row>4</xdr:row>
          <xdr:rowOff>0</xdr:rowOff>
        </xdr:to>
        <xdr:sp macro="" textlink="">
          <xdr:nvSpPr>
            <xdr:cNvPr id="2041" name="Group Box 1017" hidden="1">
              <a:extLst>
                <a:ext uri="{63B3BB69-23CF-44E3-9099-C40C66FF867C}">
                  <a14:compatExt spid="_x0000_s2041"/>
                </a:ext>
                <a:ext uri="{FF2B5EF4-FFF2-40B4-BE49-F238E27FC236}">
                  <a16:creationId xmlns:a16="http://schemas.microsoft.com/office/drawing/2014/main" id="{00000000-0008-0000-0000-0000F9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3</xdr:row>
          <xdr:rowOff>0</xdr:rowOff>
        </xdr:from>
        <xdr:to>
          <xdr:col>25</xdr:col>
          <xdr:colOff>45720</xdr:colOff>
          <xdr:row>4</xdr:row>
          <xdr:rowOff>0</xdr:rowOff>
        </xdr:to>
        <xdr:sp macro="" textlink="">
          <xdr:nvSpPr>
            <xdr:cNvPr id="2042" name="Option Button 1018" hidden="1">
              <a:extLst>
                <a:ext uri="{63B3BB69-23CF-44E3-9099-C40C66FF867C}">
                  <a14:compatExt spid="_x0000_s2042"/>
                </a:ext>
                <a:ext uri="{FF2B5EF4-FFF2-40B4-BE49-F238E27FC236}">
                  <a16:creationId xmlns:a16="http://schemas.microsoft.com/office/drawing/2014/main" id="{00000000-0008-0000-0000-0000F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76200</xdr:colOff>
          <xdr:row>3</xdr:row>
          <xdr:rowOff>0</xdr:rowOff>
        </xdr:from>
        <xdr:to>
          <xdr:col>26</xdr:col>
          <xdr:colOff>190500</xdr:colOff>
          <xdr:row>4</xdr:row>
          <xdr:rowOff>0</xdr:rowOff>
        </xdr:to>
        <xdr:sp macro="" textlink="">
          <xdr:nvSpPr>
            <xdr:cNvPr id="2043" name="Option Button 1019" hidden="1">
              <a:extLst>
                <a:ext uri="{63B3BB69-23CF-44E3-9099-C40C66FF867C}">
                  <a14:compatExt spid="_x0000_s2043"/>
                </a:ext>
                <a:ext uri="{FF2B5EF4-FFF2-40B4-BE49-F238E27FC236}">
                  <a16:creationId xmlns:a16="http://schemas.microsoft.com/office/drawing/2014/main" id="{00000000-0008-0000-0000-0000F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13</xdr:col>
          <xdr:colOff>0</xdr:colOff>
          <xdr:row>4</xdr:row>
          <xdr:rowOff>2950</xdr:rowOff>
        </xdr:to>
        <xdr:sp macro="" textlink="">
          <xdr:nvSpPr>
            <xdr:cNvPr id="4392" name="Group Box 1320" hidden="1">
              <a:extLst>
                <a:ext uri="{63B3BB69-23CF-44E3-9099-C40C66FF867C}">
                  <a14:compatExt spid="_x0000_s4392"/>
                </a:ext>
                <a:ext uri="{FF2B5EF4-FFF2-40B4-BE49-F238E27FC236}">
                  <a16:creationId xmlns:a16="http://schemas.microsoft.com/office/drawing/2014/main" id="{00000000-0008-0000-0000-0000281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xdr:row>
          <xdr:rowOff>0</xdr:rowOff>
        </xdr:from>
        <xdr:to>
          <xdr:col>6</xdr:col>
          <xdr:colOff>30480</xdr:colOff>
          <xdr:row>4</xdr:row>
          <xdr:rowOff>2950</xdr:rowOff>
        </xdr:to>
        <xdr:sp macro="" textlink="">
          <xdr:nvSpPr>
            <xdr:cNvPr id="4393" name="Option Button 1321" hidden="1">
              <a:extLst>
                <a:ext uri="{63B3BB69-23CF-44E3-9099-C40C66FF867C}">
                  <a14:compatExt spid="_x0000_s4393"/>
                </a:ext>
                <a:ext uri="{FF2B5EF4-FFF2-40B4-BE49-F238E27FC236}">
                  <a16:creationId xmlns:a16="http://schemas.microsoft.com/office/drawing/2014/main" id="{00000000-0008-0000-0000-0000291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Installation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xdr:colOff>
          <xdr:row>3</xdr:row>
          <xdr:rowOff>0</xdr:rowOff>
        </xdr:from>
        <xdr:to>
          <xdr:col>10</xdr:col>
          <xdr:colOff>190500</xdr:colOff>
          <xdr:row>4</xdr:row>
          <xdr:rowOff>2950</xdr:rowOff>
        </xdr:to>
        <xdr:sp macro="" textlink="">
          <xdr:nvSpPr>
            <xdr:cNvPr id="4394" name="Option Button 1322" hidden="1">
              <a:extLst>
                <a:ext uri="{63B3BB69-23CF-44E3-9099-C40C66FF867C}">
                  <a14:compatExt spid="_x0000_s4394"/>
                </a:ext>
                <a:ext uri="{FF2B5EF4-FFF2-40B4-BE49-F238E27FC236}">
                  <a16:creationId xmlns:a16="http://schemas.microsoft.com/office/drawing/2014/main" id="{00000000-0008-0000-0000-00002A1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Production Support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3</xdr:row>
          <xdr:rowOff>0</xdr:rowOff>
        </xdr:from>
        <xdr:to>
          <xdr:col>12</xdr:col>
          <xdr:colOff>190500</xdr:colOff>
          <xdr:row>4</xdr:row>
          <xdr:rowOff>2950</xdr:rowOff>
        </xdr:to>
        <xdr:sp macro="" textlink="">
          <xdr:nvSpPr>
            <xdr:cNvPr id="4396" name="Option Button 1324" hidden="1">
              <a:extLst>
                <a:ext uri="{63B3BB69-23CF-44E3-9099-C40C66FF867C}">
                  <a14:compatExt spid="_x0000_s4396"/>
                </a:ext>
                <a:ext uri="{FF2B5EF4-FFF2-40B4-BE49-F238E27FC236}">
                  <a16:creationId xmlns:a16="http://schemas.microsoft.com/office/drawing/2014/main" id="{00000000-0008-0000-0000-00002C1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Other:</a:t>
              </a:r>
            </a:p>
          </xdr:txBody>
        </xdr:sp>
        <xdr:clientData/>
      </xdr:twoCellAnchor>
    </mc:Choice>
    <mc:Fallback/>
  </mc:AlternateContent>
  <xdr:twoCellAnchor>
    <xdr:from>
      <xdr:col>12</xdr:col>
      <xdr:colOff>6568</xdr:colOff>
      <xdr:row>107</xdr:row>
      <xdr:rowOff>45984</xdr:rowOff>
    </xdr:from>
    <xdr:to>
      <xdr:col>14</xdr:col>
      <xdr:colOff>3284</xdr:colOff>
      <xdr:row>108</xdr:row>
      <xdr:rowOff>24307</xdr:rowOff>
    </xdr:to>
    <xdr:sp macro="" textlink="">
      <xdr:nvSpPr>
        <xdr:cNvPr id="6182" name="Line 86">
          <a:extLst>
            <a:ext uri="{FF2B5EF4-FFF2-40B4-BE49-F238E27FC236}">
              <a16:creationId xmlns:a16="http://schemas.microsoft.com/office/drawing/2014/main" id="{00000000-0008-0000-0000-000026180000}"/>
            </a:ext>
          </a:extLst>
        </xdr:cNvPr>
        <xdr:cNvSpPr>
          <a:spLocks noChangeShapeType="1"/>
        </xdr:cNvSpPr>
      </xdr:nvSpPr>
      <xdr:spPr bwMode="auto">
        <a:xfrm flipH="1" flipV="1">
          <a:off x="2910051" y="17565415"/>
          <a:ext cx="469681" cy="1228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3285</xdr:colOff>
      <xdr:row>108</xdr:row>
      <xdr:rowOff>24306</xdr:rowOff>
    </xdr:from>
    <xdr:to>
      <xdr:col>14</xdr:col>
      <xdr:colOff>174735</xdr:colOff>
      <xdr:row>108</xdr:row>
      <xdr:rowOff>24306</xdr:rowOff>
    </xdr:to>
    <xdr:sp macro="" textlink="">
      <xdr:nvSpPr>
        <xdr:cNvPr id="6183" name="Line 84">
          <a:extLst>
            <a:ext uri="{FF2B5EF4-FFF2-40B4-BE49-F238E27FC236}">
              <a16:creationId xmlns:a16="http://schemas.microsoft.com/office/drawing/2014/main" id="{00000000-0008-0000-0000-000027180000}"/>
            </a:ext>
          </a:extLst>
        </xdr:cNvPr>
        <xdr:cNvSpPr>
          <a:spLocks noChangeShapeType="1"/>
        </xdr:cNvSpPr>
      </xdr:nvSpPr>
      <xdr:spPr bwMode="auto">
        <a:xfrm flipH="1">
          <a:off x="3379733" y="17688254"/>
          <a:ext cx="171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177275</xdr:colOff>
      <xdr:row>107</xdr:row>
      <xdr:rowOff>53517</xdr:rowOff>
    </xdr:from>
    <xdr:to>
      <xdr:col>23</xdr:col>
      <xdr:colOff>225798</xdr:colOff>
      <xdr:row>110</xdr:row>
      <xdr:rowOff>234820</xdr:rowOff>
    </xdr:to>
    <xdr:sp macro="" textlink="">
      <xdr:nvSpPr>
        <xdr:cNvPr id="45" name="Rectangle 177">
          <a:extLst>
            <a:ext uri="{FF2B5EF4-FFF2-40B4-BE49-F238E27FC236}">
              <a16:creationId xmlns:a16="http://schemas.microsoft.com/office/drawing/2014/main" id="{00000000-0008-0000-0000-00002D000000}"/>
            </a:ext>
          </a:extLst>
        </xdr:cNvPr>
        <xdr:cNvSpPr>
          <a:spLocks noChangeArrowheads="1"/>
        </xdr:cNvSpPr>
      </xdr:nvSpPr>
      <xdr:spPr bwMode="auto">
        <a:xfrm>
          <a:off x="3553723" y="17572948"/>
          <a:ext cx="2130885" cy="79878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Wait box is used to capture the time you are idle. List the time in hours you are waiting for access to do your work.</a:t>
          </a:r>
        </a:p>
      </xdr:txBody>
    </xdr:sp>
    <xdr:clientData/>
  </xdr:twoCellAnchor>
  <xdr:twoCellAnchor editAs="oneCell">
    <xdr:from>
      <xdr:col>18</xdr:col>
      <xdr:colOff>180975</xdr:colOff>
      <xdr:row>64</xdr:row>
      <xdr:rowOff>19050</xdr:rowOff>
    </xdr:from>
    <xdr:to>
      <xdr:col>24</xdr:col>
      <xdr:colOff>133350</xdr:colOff>
      <xdr:row>67</xdr:row>
      <xdr:rowOff>95250</xdr:rowOff>
    </xdr:to>
    <xdr:pic>
      <xdr:nvPicPr>
        <xdr:cNvPr id="6185" name="Picture 1">
          <a:extLst>
            <a:ext uri="{FF2B5EF4-FFF2-40B4-BE49-F238E27FC236}">
              <a16:creationId xmlns:a16="http://schemas.microsoft.com/office/drawing/2014/main" id="{00000000-0008-0000-0000-00002918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467225" y="11315700"/>
          <a:ext cx="13811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211455</xdr:colOff>
      <xdr:row>63</xdr:row>
      <xdr:rowOff>114300</xdr:rowOff>
    </xdr:from>
    <xdr:to>
      <xdr:col>17</xdr:col>
      <xdr:colOff>76200</xdr:colOff>
      <xdr:row>68</xdr:row>
      <xdr:rowOff>76200</xdr:rowOff>
    </xdr:to>
    <xdr:sp macro="" textlink="">
      <xdr:nvSpPr>
        <xdr:cNvPr id="47" name="Rectangle 242">
          <a:extLst>
            <a:ext uri="{FF2B5EF4-FFF2-40B4-BE49-F238E27FC236}">
              <a16:creationId xmlns:a16="http://schemas.microsoft.com/office/drawing/2014/main" id="{00000000-0008-0000-0000-00002F000000}"/>
            </a:ext>
          </a:extLst>
        </xdr:cNvPr>
        <xdr:cNvSpPr>
          <a:spLocks noChangeArrowheads="1"/>
        </xdr:cNvSpPr>
      </xdr:nvSpPr>
      <xdr:spPr bwMode="auto">
        <a:xfrm>
          <a:off x="2931795" y="10965180"/>
          <a:ext cx="1282065" cy="6477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Non-FANUC employees can type in last name in place of EmpNo</a:t>
          </a:r>
        </a:p>
      </xdr:txBody>
    </xdr:sp>
    <xdr:clientData/>
  </xdr:twoCellAnchor>
  <xdr:twoCellAnchor>
    <xdr:from>
      <xdr:col>17</xdr:col>
      <xdr:colOff>19050</xdr:colOff>
      <xdr:row>65</xdr:row>
      <xdr:rowOff>95250</xdr:rowOff>
    </xdr:from>
    <xdr:to>
      <xdr:col>19</xdr:col>
      <xdr:colOff>28575</xdr:colOff>
      <xdr:row>66</xdr:row>
      <xdr:rowOff>38100</xdr:rowOff>
    </xdr:to>
    <xdr:sp macro="" textlink="">
      <xdr:nvSpPr>
        <xdr:cNvPr id="6187" name="Line 239">
          <a:extLst>
            <a:ext uri="{FF2B5EF4-FFF2-40B4-BE49-F238E27FC236}">
              <a16:creationId xmlns:a16="http://schemas.microsoft.com/office/drawing/2014/main" id="{00000000-0008-0000-0000-00002B180000}"/>
            </a:ext>
          </a:extLst>
        </xdr:cNvPr>
        <xdr:cNvSpPr>
          <a:spLocks noChangeShapeType="1"/>
        </xdr:cNvSpPr>
      </xdr:nvSpPr>
      <xdr:spPr bwMode="auto">
        <a:xfrm>
          <a:off x="4067175" y="11534775"/>
          <a:ext cx="48577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12</xdr:col>
      <xdr:colOff>52550</xdr:colOff>
      <xdr:row>103</xdr:row>
      <xdr:rowOff>52551</xdr:rowOff>
    </xdr:from>
    <xdr:to>
      <xdr:col>14</xdr:col>
      <xdr:colOff>3283</xdr:colOff>
      <xdr:row>103</xdr:row>
      <xdr:rowOff>122840</xdr:rowOff>
    </xdr:to>
    <xdr:sp macro="" textlink="">
      <xdr:nvSpPr>
        <xdr:cNvPr id="51" name="Line 86">
          <a:extLst>
            <a:ext uri="{FF2B5EF4-FFF2-40B4-BE49-F238E27FC236}">
              <a16:creationId xmlns:a16="http://schemas.microsoft.com/office/drawing/2014/main" id="{00000000-0008-0000-0000-000033000000}"/>
            </a:ext>
          </a:extLst>
        </xdr:cNvPr>
        <xdr:cNvSpPr>
          <a:spLocks noChangeShapeType="1"/>
        </xdr:cNvSpPr>
      </xdr:nvSpPr>
      <xdr:spPr bwMode="auto">
        <a:xfrm flipH="1" flipV="1">
          <a:off x="2956033" y="16993913"/>
          <a:ext cx="423698" cy="70289"/>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3285</xdr:colOff>
      <xdr:row>103</xdr:row>
      <xdr:rowOff>122840</xdr:rowOff>
    </xdr:from>
    <xdr:to>
      <xdr:col>14</xdr:col>
      <xdr:colOff>174735</xdr:colOff>
      <xdr:row>103</xdr:row>
      <xdr:rowOff>122840</xdr:rowOff>
    </xdr:to>
    <xdr:sp macro="" textlink="">
      <xdr:nvSpPr>
        <xdr:cNvPr id="52" name="Line 84">
          <a:extLst>
            <a:ext uri="{FF2B5EF4-FFF2-40B4-BE49-F238E27FC236}">
              <a16:creationId xmlns:a16="http://schemas.microsoft.com/office/drawing/2014/main" id="{00000000-0008-0000-0000-000034000000}"/>
            </a:ext>
          </a:extLst>
        </xdr:cNvPr>
        <xdr:cNvSpPr>
          <a:spLocks noChangeShapeType="1"/>
        </xdr:cNvSpPr>
      </xdr:nvSpPr>
      <xdr:spPr bwMode="auto">
        <a:xfrm flipH="1">
          <a:off x="3379733" y="17064202"/>
          <a:ext cx="171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177275</xdr:colOff>
      <xdr:row>103</xdr:row>
      <xdr:rowOff>7534</xdr:rowOff>
    </xdr:from>
    <xdr:to>
      <xdr:col>23</xdr:col>
      <xdr:colOff>225798</xdr:colOff>
      <xdr:row>106</xdr:row>
      <xdr:rowOff>111672</xdr:rowOff>
    </xdr:to>
    <xdr:sp macro="" textlink="">
      <xdr:nvSpPr>
        <xdr:cNvPr id="53" name="Rectangle 177">
          <a:extLst>
            <a:ext uri="{FF2B5EF4-FFF2-40B4-BE49-F238E27FC236}">
              <a16:creationId xmlns:a16="http://schemas.microsoft.com/office/drawing/2014/main" id="{00000000-0008-0000-0000-000035000000}"/>
            </a:ext>
          </a:extLst>
        </xdr:cNvPr>
        <xdr:cNvSpPr>
          <a:spLocks noChangeArrowheads="1"/>
        </xdr:cNvSpPr>
      </xdr:nvSpPr>
      <xdr:spPr bwMode="auto">
        <a:xfrm>
          <a:off x="3553723" y="16948896"/>
          <a:ext cx="2130885" cy="53769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Expense box is used to capture costs for this workweek.</a:t>
          </a:r>
        </a:p>
      </xdr:txBody>
    </xdr:sp>
    <xdr:clientData/>
  </xdr:twoCellAnchor>
  <xdr:twoCellAnchor>
    <xdr:from>
      <xdr:col>15</xdr:col>
      <xdr:colOff>236373</xdr:colOff>
      <xdr:row>59</xdr:row>
      <xdr:rowOff>44185</xdr:rowOff>
    </xdr:from>
    <xdr:to>
      <xdr:col>29</xdr:col>
      <xdr:colOff>143259</xdr:colOff>
      <xdr:row>59</xdr:row>
      <xdr:rowOff>336113</xdr:rowOff>
    </xdr:to>
    <xdr:sp macro="" textlink="">
      <xdr:nvSpPr>
        <xdr:cNvPr id="57" name="Rectangle 234">
          <a:extLst>
            <a:ext uri="{FF2B5EF4-FFF2-40B4-BE49-F238E27FC236}">
              <a16:creationId xmlns:a16="http://schemas.microsoft.com/office/drawing/2014/main" id="{00000000-0008-0000-0000-000039000000}"/>
            </a:ext>
          </a:extLst>
        </xdr:cNvPr>
        <xdr:cNvSpPr>
          <a:spLocks noChangeArrowheads="1"/>
        </xdr:cNvSpPr>
      </xdr:nvSpPr>
      <xdr:spPr bwMode="auto">
        <a:xfrm>
          <a:off x="3820972" y="10405349"/>
          <a:ext cx="3266085" cy="29192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Type of report, (I) installation, (P) production, (O) other</a:t>
          </a:r>
        </a:p>
      </xdr:txBody>
    </xdr:sp>
    <xdr:clientData/>
  </xdr:twoCellAnchor>
  <xdr:twoCellAnchor>
    <xdr:from>
      <xdr:col>15</xdr:col>
      <xdr:colOff>145304</xdr:colOff>
      <xdr:row>59</xdr:row>
      <xdr:rowOff>136170</xdr:rowOff>
    </xdr:from>
    <xdr:to>
      <xdr:col>15</xdr:col>
      <xdr:colOff>235731</xdr:colOff>
      <xdr:row>59</xdr:row>
      <xdr:rowOff>136171</xdr:rowOff>
    </xdr:to>
    <xdr:sp macro="" textlink="">
      <xdr:nvSpPr>
        <xdr:cNvPr id="58" name="Line 236">
          <a:extLst>
            <a:ext uri="{FF2B5EF4-FFF2-40B4-BE49-F238E27FC236}">
              <a16:creationId xmlns:a16="http://schemas.microsoft.com/office/drawing/2014/main" id="{00000000-0008-0000-0000-00003A000000}"/>
            </a:ext>
          </a:extLst>
        </xdr:cNvPr>
        <xdr:cNvSpPr>
          <a:spLocks noChangeShapeType="1"/>
        </xdr:cNvSpPr>
      </xdr:nvSpPr>
      <xdr:spPr bwMode="auto">
        <a:xfrm flipH="1" flipV="1">
          <a:off x="3729903" y="10497334"/>
          <a:ext cx="90427" cy="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142289</xdr:colOff>
      <xdr:row>59</xdr:row>
      <xdr:rowOff>10907</xdr:rowOff>
    </xdr:from>
    <xdr:to>
      <xdr:col>15</xdr:col>
      <xdr:colOff>192682</xdr:colOff>
      <xdr:row>59</xdr:row>
      <xdr:rowOff>139183</xdr:rowOff>
    </xdr:to>
    <xdr:sp macro="" textlink="">
      <xdr:nvSpPr>
        <xdr:cNvPr id="59" name="Line 239">
          <a:extLst>
            <a:ext uri="{FF2B5EF4-FFF2-40B4-BE49-F238E27FC236}">
              <a16:creationId xmlns:a16="http://schemas.microsoft.com/office/drawing/2014/main" id="{00000000-0008-0000-0000-00003B000000}"/>
            </a:ext>
          </a:extLst>
        </xdr:cNvPr>
        <xdr:cNvSpPr>
          <a:spLocks noChangeShapeType="1"/>
        </xdr:cNvSpPr>
      </xdr:nvSpPr>
      <xdr:spPr bwMode="auto">
        <a:xfrm flipV="1">
          <a:off x="3726888" y="10372071"/>
          <a:ext cx="50393" cy="12827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me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114"/>
  <sheetViews>
    <sheetView showGridLines="0" tabSelected="1" zoomScale="124" zoomScaleNormal="124" workbookViewId="0">
      <selection activeCell="O2" sqref="O2:AA2"/>
    </sheetView>
  </sheetViews>
  <sheetFormatPr defaultColWidth="3.5546875" defaultRowHeight="18.75" customHeight="1" x14ac:dyDescent="0.25"/>
  <cols>
    <col min="1" max="5" width="3.6640625" style="5" customWidth="1"/>
    <col min="6" max="14" width="3.5546875" style="5" customWidth="1"/>
    <col min="15" max="15" width="2.88671875" style="5" customWidth="1"/>
    <col min="16" max="16384" width="3.5546875" style="5"/>
  </cols>
  <sheetData>
    <row r="1" spans="1:33" ht="18.75" customHeight="1" x14ac:dyDescent="0.25">
      <c r="G1" s="133" t="str">
        <f>IF(A6=0,"",CONCATENATE(A106,A107,")"))</f>
        <v>Dates Covered (2/26/2026 - 3/4/2026)</v>
      </c>
      <c r="H1" s="133"/>
      <c r="I1" s="133"/>
      <c r="J1" s="133"/>
      <c r="K1" s="133"/>
      <c r="L1" s="133"/>
      <c r="M1" s="133"/>
      <c r="N1" s="134"/>
      <c r="O1" s="125" t="s">
        <v>45</v>
      </c>
      <c r="P1" s="126"/>
      <c r="Q1" s="126"/>
      <c r="R1" s="126"/>
      <c r="S1" s="126"/>
      <c r="T1" s="126"/>
      <c r="U1" s="126"/>
      <c r="V1" s="126"/>
      <c r="W1" s="126"/>
      <c r="X1" s="126"/>
      <c r="Y1" s="126"/>
      <c r="Z1" s="126"/>
      <c r="AA1" s="127"/>
    </row>
    <row r="2" spans="1:33" ht="17.25" customHeight="1" x14ac:dyDescent="0.25">
      <c r="G2" s="135" t="s">
        <v>41</v>
      </c>
      <c r="H2" s="135"/>
      <c r="I2" s="47">
        <v>3011187</v>
      </c>
      <c r="J2" s="48"/>
      <c r="K2" s="49"/>
      <c r="L2" s="136" t="s">
        <v>40</v>
      </c>
      <c r="M2" s="137"/>
      <c r="N2" s="137"/>
      <c r="O2" s="138"/>
      <c r="P2" s="139"/>
      <c r="Q2" s="139"/>
      <c r="R2" s="139"/>
      <c r="S2" s="139"/>
      <c r="T2" s="139"/>
      <c r="U2" s="139"/>
      <c r="V2" s="139"/>
      <c r="W2" s="139"/>
      <c r="X2" s="139"/>
      <c r="Y2" s="139"/>
      <c r="Z2" s="139"/>
      <c r="AA2" s="140"/>
    </row>
    <row r="3" spans="1:33" ht="18.75" customHeight="1" x14ac:dyDescent="0.25">
      <c r="A3" s="56" t="s">
        <v>36</v>
      </c>
      <c r="B3" s="56"/>
      <c r="C3" s="56"/>
      <c r="D3" s="105" t="s">
        <v>104</v>
      </c>
      <c r="E3" s="106"/>
      <c r="F3" s="106"/>
      <c r="G3" s="106"/>
      <c r="H3" s="107"/>
      <c r="I3" s="39" t="str">
        <f>IF(AND(I2&gt;0,M55&gt;0),IF(A6&gt;0,CONCATENATE("FIR-",I2,"-",J104,I104,H104,"-",M55,SUMFIR!AV3),"fill in PROJECT &amp; DATE &amp; EMP# to get FIR number     "),"fill in PROJECT &amp; DATE &amp; EMP# to get FIR number                      ")</f>
        <v xml:space="preserve">fill in PROJECT &amp; DATE &amp; EMP# to get FIR number                      </v>
      </c>
      <c r="J3" s="121" t="s">
        <v>37</v>
      </c>
      <c r="K3" s="122"/>
      <c r="L3" s="102">
        <v>123</v>
      </c>
      <c r="M3" s="103"/>
      <c r="N3" s="103"/>
      <c r="O3" s="104"/>
      <c r="P3" s="123" t="s">
        <v>38</v>
      </c>
      <c r="Q3" s="123"/>
      <c r="R3" s="124"/>
      <c r="S3" s="111" t="s">
        <v>103</v>
      </c>
      <c r="T3" s="112"/>
      <c r="U3" s="112"/>
      <c r="V3" s="112"/>
      <c r="W3" s="113"/>
      <c r="X3" s="113"/>
      <c r="Y3" s="113"/>
      <c r="Z3" s="113"/>
      <c r="AA3" s="114"/>
    </row>
    <row r="4" spans="1:33" ht="16.5" customHeight="1" thickBot="1" x14ac:dyDescent="0.3">
      <c r="A4" s="101" t="s">
        <v>8</v>
      </c>
      <c r="B4" s="101"/>
      <c r="C4" s="101"/>
      <c r="D4" s="7"/>
      <c r="E4" s="7"/>
      <c r="F4" s="7"/>
      <c r="G4" s="7"/>
      <c r="H4" s="7"/>
      <c r="I4" s="7"/>
      <c r="J4" s="7"/>
      <c r="K4" s="7"/>
      <c r="L4" s="7"/>
      <c r="M4" s="7"/>
      <c r="N4" s="115"/>
      <c r="O4" s="116"/>
      <c r="P4" s="116"/>
      <c r="Q4" s="116"/>
      <c r="R4" s="116"/>
      <c r="S4" s="116"/>
      <c r="T4" s="116"/>
      <c r="U4" s="116"/>
      <c r="V4" s="117"/>
      <c r="W4" s="101" t="s">
        <v>20</v>
      </c>
      <c r="X4" s="101"/>
      <c r="Y4" s="7"/>
      <c r="Z4" s="7"/>
      <c r="AA4" s="7"/>
    </row>
    <row r="5" spans="1:33" ht="17.25" customHeight="1" thickTop="1" x14ac:dyDescent="0.25">
      <c r="A5" s="108" t="s">
        <v>9</v>
      </c>
      <c r="B5" s="109"/>
      <c r="C5" s="109"/>
      <c r="D5" s="109"/>
      <c r="E5" s="110"/>
      <c r="F5" s="57" t="s">
        <v>0</v>
      </c>
      <c r="G5" s="58"/>
      <c r="H5" s="58"/>
      <c r="I5" s="58"/>
      <c r="J5" s="58"/>
      <c r="K5" s="58"/>
      <c r="L5" s="58"/>
      <c r="M5" s="58"/>
      <c r="N5" s="58"/>
      <c r="O5" s="58"/>
      <c r="P5" s="58"/>
      <c r="Q5" s="58"/>
      <c r="R5" s="58"/>
      <c r="S5" s="58"/>
      <c r="T5" s="58"/>
      <c r="U5" s="58"/>
      <c r="V5" s="141" t="s">
        <v>44</v>
      </c>
      <c r="W5" s="142"/>
      <c r="X5" s="143">
        <v>1287</v>
      </c>
      <c r="Y5" s="143"/>
      <c r="Z5" s="143"/>
      <c r="AA5" s="144"/>
    </row>
    <row r="6" spans="1:33" ht="18.75" customHeight="1" x14ac:dyDescent="0.25">
      <c r="A6" s="118">
        <v>46079</v>
      </c>
      <c r="B6" s="119"/>
      <c r="C6" s="119"/>
      <c r="D6" s="119"/>
      <c r="E6" s="120"/>
      <c r="F6" s="81" t="s">
        <v>97</v>
      </c>
      <c r="G6" s="82"/>
      <c r="H6" s="82"/>
      <c r="I6" s="82"/>
      <c r="J6" s="82"/>
      <c r="K6" s="82"/>
      <c r="L6" s="82"/>
      <c r="M6" s="82"/>
      <c r="N6" s="82"/>
      <c r="O6" s="82"/>
      <c r="P6" s="82"/>
      <c r="Q6" s="82"/>
      <c r="R6" s="82"/>
      <c r="S6" s="82"/>
      <c r="T6" s="82"/>
      <c r="U6" s="82"/>
      <c r="V6" s="82"/>
      <c r="W6" s="82"/>
      <c r="X6" s="82"/>
      <c r="Y6" s="82"/>
      <c r="Z6" s="83"/>
      <c r="AA6" s="8"/>
      <c r="AD6" s="100"/>
      <c r="AE6" s="100"/>
      <c r="AF6" s="100"/>
      <c r="AG6" s="100"/>
    </row>
    <row r="7" spans="1:33" ht="7.5" customHeight="1" x14ac:dyDescent="0.25">
      <c r="A7" s="53" t="str">
        <f>CHOOSE(IF(A6=0,8,WEEKDAY(A6,2)),"Monday","Tuesday","Wednesday","Thursday","Friday","Saturday","Sunday","")</f>
        <v>Thursday</v>
      </c>
      <c r="B7" s="54"/>
      <c r="C7" s="54"/>
      <c r="D7" s="54"/>
      <c r="E7" s="55"/>
      <c r="F7" s="84"/>
      <c r="G7" s="85"/>
      <c r="H7" s="85"/>
      <c r="I7" s="85"/>
      <c r="J7" s="85"/>
      <c r="K7" s="85"/>
      <c r="L7" s="85"/>
      <c r="M7" s="85"/>
      <c r="N7" s="85"/>
      <c r="O7" s="85"/>
      <c r="P7" s="85"/>
      <c r="Q7" s="85"/>
      <c r="R7" s="85"/>
      <c r="S7" s="85"/>
      <c r="T7" s="85"/>
      <c r="U7" s="85"/>
      <c r="V7" s="85"/>
      <c r="W7" s="85"/>
      <c r="X7" s="85"/>
      <c r="Y7" s="85"/>
      <c r="Z7" s="86"/>
      <c r="AA7" s="9"/>
    </row>
    <row r="8" spans="1:33" ht="7.5" customHeight="1" x14ac:dyDescent="0.25">
      <c r="A8" s="3" t="s">
        <v>2</v>
      </c>
      <c r="B8" s="4" t="s">
        <v>3</v>
      </c>
      <c r="C8" s="4" t="s">
        <v>4</v>
      </c>
      <c r="D8" s="4" t="s">
        <v>10</v>
      </c>
      <c r="E8" s="4" t="s">
        <v>13</v>
      </c>
      <c r="F8" s="84"/>
      <c r="G8" s="85"/>
      <c r="H8" s="85"/>
      <c r="I8" s="85"/>
      <c r="J8" s="85"/>
      <c r="K8" s="85"/>
      <c r="L8" s="85"/>
      <c r="M8" s="85"/>
      <c r="N8" s="85"/>
      <c r="O8" s="85"/>
      <c r="P8" s="85"/>
      <c r="Q8" s="85"/>
      <c r="R8" s="85"/>
      <c r="S8" s="85"/>
      <c r="T8" s="85"/>
      <c r="U8" s="85"/>
      <c r="V8" s="85"/>
      <c r="W8" s="85"/>
      <c r="X8" s="85"/>
      <c r="Y8" s="85"/>
      <c r="Z8" s="86"/>
      <c r="AA8" s="10" t="s">
        <v>23</v>
      </c>
    </row>
    <row r="9" spans="1:33" ht="18.75" customHeight="1" x14ac:dyDescent="0.25">
      <c r="A9" s="1"/>
      <c r="B9" s="2"/>
      <c r="C9" s="2"/>
      <c r="D9" s="2"/>
      <c r="E9" s="2"/>
      <c r="F9" s="84"/>
      <c r="G9" s="85"/>
      <c r="H9" s="85"/>
      <c r="I9" s="85"/>
      <c r="J9" s="85"/>
      <c r="K9" s="85"/>
      <c r="L9" s="85"/>
      <c r="M9" s="85"/>
      <c r="N9" s="85"/>
      <c r="O9" s="85"/>
      <c r="P9" s="85"/>
      <c r="Q9" s="85"/>
      <c r="R9" s="85"/>
      <c r="S9" s="85"/>
      <c r="T9" s="85"/>
      <c r="U9" s="85"/>
      <c r="V9" s="85"/>
      <c r="W9" s="85"/>
      <c r="X9" s="85"/>
      <c r="Y9" s="85"/>
      <c r="Z9" s="86"/>
      <c r="AA9" s="34"/>
    </row>
    <row r="10" spans="1:33" ht="18.75" customHeight="1" thickBot="1" x14ac:dyDescent="0.3">
      <c r="A10" s="94"/>
      <c r="B10" s="95"/>
      <c r="C10" s="95"/>
      <c r="D10" s="95"/>
      <c r="E10" s="96"/>
      <c r="F10" s="87"/>
      <c r="G10" s="88"/>
      <c r="H10" s="88"/>
      <c r="I10" s="88"/>
      <c r="J10" s="88"/>
      <c r="K10" s="88"/>
      <c r="L10" s="88"/>
      <c r="M10" s="88"/>
      <c r="N10" s="88"/>
      <c r="O10" s="88"/>
      <c r="P10" s="88"/>
      <c r="Q10" s="88"/>
      <c r="R10" s="88"/>
      <c r="S10" s="88"/>
      <c r="T10" s="88"/>
      <c r="U10" s="88"/>
      <c r="V10" s="88"/>
      <c r="W10" s="88"/>
      <c r="X10" s="88"/>
      <c r="Y10" s="88"/>
      <c r="Z10" s="89"/>
      <c r="AA10" s="13"/>
    </row>
    <row r="11" spans="1:33" ht="6.75" customHeight="1" x14ac:dyDescent="0.25">
      <c r="A11" s="53" t="s">
        <v>9</v>
      </c>
      <c r="B11" s="54"/>
      <c r="C11" s="54"/>
      <c r="D11" s="54"/>
      <c r="E11" s="55"/>
      <c r="F11" s="76" t="s">
        <v>0</v>
      </c>
      <c r="G11" s="77"/>
      <c r="H11" s="77"/>
      <c r="I11" s="77"/>
      <c r="J11" s="77"/>
      <c r="K11" s="77"/>
      <c r="L11" s="77"/>
      <c r="M11" s="77"/>
      <c r="N11" s="77"/>
      <c r="O11" s="77"/>
      <c r="P11" s="77"/>
      <c r="Q11" s="77"/>
      <c r="R11" s="77"/>
      <c r="S11" s="77"/>
      <c r="T11" s="77"/>
      <c r="U11" s="77"/>
      <c r="V11" s="77"/>
      <c r="W11" s="77"/>
      <c r="X11" s="77"/>
      <c r="Y11" s="77"/>
      <c r="Z11" s="77"/>
      <c r="AA11" s="78"/>
    </row>
    <row r="12" spans="1:33" ht="18.75" customHeight="1" x14ac:dyDescent="0.25">
      <c r="A12" s="50">
        <f>IF(A6="","",A6+1)</f>
        <v>46080</v>
      </c>
      <c r="B12" s="51"/>
      <c r="C12" s="51"/>
      <c r="D12" s="51"/>
      <c r="E12" s="52"/>
      <c r="F12" s="81" t="s">
        <v>97</v>
      </c>
      <c r="G12" s="82"/>
      <c r="H12" s="82"/>
      <c r="I12" s="82"/>
      <c r="J12" s="82"/>
      <c r="K12" s="82"/>
      <c r="L12" s="82"/>
      <c r="M12" s="82"/>
      <c r="N12" s="82"/>
      <c r="O12" s="82"/>
      <c r="P12" s="82"/>
      <c r="Q12" s="82"/>
      <c r="R12" s="82"/>
      <c r="S12" s="82"/>
      <c r="T12" s="82"/>
      <c r="U12" s="82"/>
      <c r="V12" s="82"/>
      <c r="W12" s="82"/>
      <c r="X12" s="82"/>
      <c r="Y12" s="82"/>
      <c r="Z12" s="83"/>
      <c r="AA12" s="8"/>
    </row>
    <row r="13" spans="1:33" ht="7.5" customHeight="1" x14ac:dyDescent="0.25">
      <c r="A13" s="53" t="str">
        <f>CHOOSE(IF(A12="",8,WEEKDAY(A12,2)),"Monday","Tuesday","Wednesday","Thursday","Friday","Saturday","Sunday","")</f>
        <v>Friday</v>
      </c>
      <c r="B13" s="54"/>
      <c r="C13" s="54"/>
      <c r="D13" s="54"/>
      <c r="E13" s="55"/>
      <c r="F13" s="84"/>
      <c r="G13" s="85"/>
      <c r="H13" s="85"/>
      <c r="I13" s="85"/>
      <c r="J13" s="85"/>
      <c r="K13" s="85"/>
      <c r="L13" s="85"/>
      <c r="M13" s="85"/>
      <c r="N13" s="85"/>
      <c r="O13" s="85"/>
      <c r="P13" s="85"/>
      <c r="Q13" s="85"/>
      <c r="R13" s="85"/>
      <c r="S13" s="85"/>
      <c r="T13" s="85"/>
      <c r="U13" s="85"/>
      <c r="V13" s="85"/>
      <c r="W13" s="85"/>
      <c r="X13" s="85"/>
      <c r="Y13" s="85"/>
      <c r="Z13" s="86"/>
      <c r="AA13" s="9"/>
    </row>
    <row r="14" spans="1:33" ht="7.5" customHeight="1" x14ac:dyDescent="0.25">
      <c r="A14" s="3" t="s">
        <v>2</v>
      </c>
      <c r="B14" s="4" t="s">
        <v>3</v>
      </c>
      <c r="C14" s="4" t="s">
        <v>4</v>
      </c>
      <c r="D14" s="4" t="s">
        <v>10</v>
      </c>
      <c r="E14" s="4" t="s">
        <v>13</v>
      </c>
      <c r="F14" s="84"/>
      <c r="G14" s="85"/>
      <c r="H14" s="85"/>
      <c r="I14" s="85"/>
      <c r="J14" s="85"/>
      <c r="K14" s="85"/>
      <c r="L14" s="85"/>
      <c r="M14" s="85"/>
      <c r="N14" s="85"/>
      <c r="O14" s="85"/>
      <c r="P14" s="85"/>
      <c r="Q14" s="85"/>
      <c r="R14" s="85"/>
      <c r="S14" s="85"/>
      <c r="T14" s="85"/>
      <c r="U14" s="85"/>
      <c r="V14" s="85"/>
      <c r="W14" s="85"/>
      <c r="X14" s="85"/>
      <c r="Y14" s="85"/>
      <c r="Z14" s="86"/>
      <c r="AA14" s="10" t="s">
        <v>23</v>
      </c>
    </row>
    <row r="15" spans="1:33" ht="18.75" customHeight="1" x14ac:dyDescent="0.25">
      <c r="A15" s="1"/>
      <c r="B15" s="2"/>
      <c r="C15" s="2"/>
      <c r="D15" s="2"/>
      <c r="E15" s="2"/>
      <c r="F15" s="84"/>
      <c r="G15" s="85"/>
      <c r="H15" s="85"/>
      <c r="I15" s="85"/>
      <c r="J15" s="85"/>
      <c r="K15" s="85"/>
      <c r="L15" s="85"/>
      <c r="M15" s="85"/>
      <c r="N15" s="85"/>
      <c r="O15" s="85"/>
      <c r="P15" s="85"/>
      <c r="Q15" s="85"/>
      <c r="R15" s="85"/>
      <c r="S15" s="85"/>
      <c r="T15" s="85"/>
      <c r="U15" s="85"/>
      <c r="V15" s="85"/>
      <c r="W15" s="85"/>
      <c r="X15" s="85"/>
      <c r="Y15" s="85"/>
      <c r="Z15" s="86"/>
      <c r="AA15" s="34"/>
    </row>
    <row r="16" spans="1:33" ht="18.75" customHeight="1" thickBot="1" x14ac:dyDescent="0.3">
      <c r="A16" s="94"/>
      <c r="B16" s="95"/>
      <c r="C16" s="95"/>
      <c r="D16" s="95"/>
      <c r="E16" s="96"/>
      <c r="F16" s="87"/>
      <c r="G16" s="88"/>
      <c r="H16" s="88"/>
      <c r="I16" s="88"/>
      <c r="J16" s="88"/>
      <c r="K16" s="88"/>
      <c r="L16" s="88"/>
      <c r="M16" s="88"/>
      <c r="N16" s="88"/>
      <c r="O16" s="88"/>
      <c r="P16" s="88"/>
      <c r="Q16" s="88"/>
      <c r="R16" s="88"/>
      <c r="S16" s="88"/>
      <c r="T16" s="88"/>
      <c r="U16" s="88"/>
      <c r="V16" s="88"/>
      <c r="W16" s="88"/>
      <c r="X16" s="88"/>
      <c r="Y16" s="88"/>
      <c r="Z16" s="89"/>
      <c r="AA16" s="13"/>
    </row>
    <row r="17" spans="1:34" ht="6.75" customHeight="1" x14ac:dyDescent="0.25">
      <c r="A17" s="53" t="s">
        <v>9</v>
      </c>
      <c r="B17" s="54"/>
      <c r="C17" s="54"/>
      <c r="D17" s="54"/>
      <c r="E17" s="55"/>
      <c r="F17" s="76" t="s">
        <v>0</v>
      </c>
      <c r="G17" s="77"/>
      <c r="H17" s="77"/>
      <c r="I17" s="77"/>
      <c r="J17" s="77"/>
      <c r="K17" s="77"/>
      <c r="L17" s="77"/>
      <c r="M17" s="77"/>
      <c r="N17" s="77"/>
      <c r="O17" s="77"/>
      <c r="P17" s="77"/>
      <c r="Q17" s="77"/>
      <c r="R17" s="77"/>
      <c r="S17" s="77"/>
      <c r="T17" s="77"/>
      <c r="U17" s="77"/>
      <c r="V17" s="77"/>
      <c r="W17" s="77"/>
      <c r="X17" s="77"/>
      <c r="Y17" s="77"/>
      <c r="Z17" s="77"/>
      <c r="AA17" s="78"/>
    </row>
    <row r="18" spans="1:34" ht="18.75" customHeight="1" x14ac:dyDescent="0.25">
      <c r="A18" s="50">
        <f>IF(A12="","",A12+1)</f>
        <v>46081</v>
      </c>
      <c r="B18" s="51"/>
      <c r="C18" s="51"/>
      <c r="D18" s="51"/>
      <c r="E18" s="52"/>
      <c r="F18" s="81" t="s">
        <v>98</v>
      </c>
      <c r="G18" s="82"/>
      <c r="H18" s="82"/>
      <c r="I18" s="82"/>
      <c r="J18" s="82"/>
      <c r="K18" s="82"/>
      <c r="L18" s="82"/>
      <c r="M18" s="82"/>
      <c r="N18" s="82"/>
      <c r="O18" s="82"/>
      <c r="P18" s="82"/>
      <c r="Q18" s="82"/>
      <c r="R18" s="82"/>
      <c r="S18" s="82"/>
      <c r="T18" s="82"/>
      <c r="U18" s="82"/>
      <c r="V18" s="82"/>
      <c r="W18" s="82"/>
      <c r="X18" s="82"/>
      <c r="Y18" s="82"/>
      <c r="Z18" s="83"/>
      <c r="AA18" s="8"/>
    </row>
    <row r="19" spans="1:34" ht="7.5" customHeight="1" x14ac:dyDescent="0.25">
      <c r="A19" s="53" t="str">
        <f>CHOOSE(IF(A18="",8,WEEKDAY(A18,2)),"Monday","Tuesday","Wednesday","Thursday","Friday","Saturday","Sunday","")</f>
        <v>Saturday</v>
      </c>
      <c r="B19" s="54"/>
      <c r="C19" s="54"/>
      <c r="D19" s="54"/>
      <c r="E19" s="55"/>
      <c r="F19" s="84"/>
      <c r="G19" s="85"/>
      <c r="H19" s="85"/>
      <c r="I19" s="85"/>
      <c r="J19" s="85"/>
      <c r="K19" s="85"/>
      <c r="L19" s="85"/>
      <c r="M19" s="85"/>
      <c r="N19" s="85"/>
      <c r="O19" s="85"/>
      <c r="P19" s="85"/>
      <c r="Q19" s="85"/>
      <c r="R19" s="85"/>
      <c r="S19" s="85"/>
      <c r="T19" s="85"/>
      <c r="U19" s="85"/>
      <c r="V19" s="85"/>
      <c r="W19" s="85"/>
      <c r="X19" s="85"/>
      <c r="Y19" s="85"/>
      <c r="Z19" s="86"/>
      <c r="AA19" s="9"/>
    </row>
    <row r="20" spans="1:34" ht="7.5" customHeight="1" x14ac:dyDescent="0.25">
      <c r="A20" s="3" t="s">
        <v>2</v>
      </c>
      <c r="B20" s="4" t="s">
        <v>3</v>
      </c>
      <c r="C20" s="4" t="s">
        <v>4</v>
      </c>
      <c r="D20" s="4" t="s">
        <v>10</v>
      </c>
      <c r="E20" s="4" t="s">
        <v>13</v>
      </c>
      <c r="F20" s="84"/>
      <c r="G20" s="85"/>
      <c r="H20" s="85"/>
      <c r="I20" s="85"/>
      <c r="J20" s="85"/>
      <c r="K20" s="85"/>
      <c r="L20" s="85"/>
      <c r="M20" s="85"/>
      <c r="N20" s="85"/>
      <c r="O20" s="85"/>
      <c r="P20" s="85"/>
      <c r="Q20" s="85"/>
      <c r="R20" s="85"/>
      <c r="S20" s="85"/>
      <c r="T20" s="85"/>
      <c r="U20" s="85"/>
      <c r="V20" s="85"/>
      <c r="W20" s="85"/>
      <c r="X20" s="85"/>
      <c r="Y20" s="85"/>
      <c r="Z20" s="86"/>
      <c r="AA20" s="10" t="s">
        <v>23</v>
      </c>
    </row>
    <row r="21" spans="1:34" ht="18.75" customHeight="1" x14ac:dyDescent="0.25">
      <c r="A21" s="1">
        <v>8</v>
      </c>
      <c r="B21" s="2">
        <v>3</v>
      </c>
      <c r="C21" s="2"/>
      <c r="D21" s="2"/>
      <c r="E21" s="2"/>
      <c r="F21" s="84"/>
      <c r="G21" s="85"/>
      <c r="H21" s="85"/>
      <c r="I21" s="85"/>
      <c r="J21" s="85"/>
      <c r="K21" s="85"/>
      <c r="L21" s="85"/>
      <c r="M21" s="85"/>
      <c r="N21" s="85"/>
      <c r="O21" s="85"/>
      <c r="P21" s="85"/>
      <c r="Q21" s="85"/>
      <c r="R21" s="85"/>
      <c r="S21" s="85"/>
      <c r="T21" s="85"/>
      <c r="U21" s="85"/>
      <c r="V21" s="85"/>
      <c r="W21" s="85"/>
      <c r="X21" s="85"/>
      <c r="Y21" s="85"/>
      <c r="Z21" s="86"/>
      <c r="AA21" s="34"/>
      <c r="AF21" s="14"/>
      <c r="AG21" s="14"/>
      <c r="AH21" s="14"/>
    </row>
    <row r="22" spans="1:34" ht="18.75" customHeight="1" thickBot="1" x14ac:dyDescent="0.3">
      <c r="A22" s="94"/>
      <c r="B22" s="95"/>
      <c r="C22" s="95"/>
      <c r="D22" s="95"/>
      <c r="E22" s="96"/>
      <c r="F22" s="87"/>
      <c r="G22" s="88"/>
      <c r="H22" s="88"/>
      <c r="I22" s="88"/>
      <c r="J22" s="88"/>
      <c r="K22" s="88"/>
      <c r="L22" s="88"/>
      <c r="M22" s="88"/>
      <c r="N22" s="88"/>
      <c r="O22" s="88"/>
      <c r="P22" s="88"/>
      <c r="Q22" s="88"/>
      <c r="R22" s="88"/>
      <c r="S22" s="88"/>
      <c r="T22" s="88"/>
      <c r="U22" s="88"/>
      <c r="V22" s="88"/>
      <c r="W22" s="88"/>
      <c r="X22" s="88"/>
      <c r="Y22" s="88"/>
      <c r="Z22" s="89"/>
      <c r="AA22" s="13"/>
    </row>
    <row r="23" spans="1:34" ht="6.75" customHeight="1" x14ac:dyDescent="0.25">
      <c r="A23" s="53" t="s">
        <v>9</v>
      </c>
      <c r="B23" s="54"/>
      <c r="C23" s="54"/>
      <c r="D23" s="54"/>
      <c r="E23" s="55"/>
      <c r="F23" s="76" t="s">
        <v>0</v>
      </c>
      <c r="G23" s="77"/>
      <c r="H23" s="77"/>
      <c r="I23" s="77"/>
      <c r="J23" s="77"/>
      <c r="K23" s="77"/>
      <c r="L23" s="77"/>
      <c r="M23" s="77"/>
      <c r="N23" s="77"/>
      <c r="O23" s="77"/>
      <c r="P23" s="77"/>
      <c r="Q23" s="77"/>
      <c r="R23" s="77"/>
      <c r="S23" s="77"/>
      <c r="T23" s="77"/>
      <c r="U23" s="77"/>
      <c r="V23" s="77"/>
      <c r="W23" s="77"/>
      <c r="X23" s="77"/>
      <c r="Y23" s="77"/>
      <c r="Z23" s="77"/>
      <c r="AA23" s="78"/>
    </row>
    <row r="24" spans="1:34" ht="18.75" customHeight="1" x14ac:dyDescent="0.25">
      <c r="A24" s="50">
        <f>IF(A18="","",A18+1)</f>
        <v>46082</v>
      </c>
      <c r="B24" s="51"/>
      <c r="C24" s="51"/>
      <c r="D24" s="51"/>
      <c r="E24" s="52"/>
      <c r="F24" s="81" t="s">
        <v>99</v>
      </c>
      <c r="G24" s="82"/>
      <c r="H24" s="82"/>
      <c r="I24" s="82"/>
      <c r="J24" s="82"/>
      <c r="K24" s="82"/>
      <c r="L24" s="82"/>
      <c r="M24" s="82"/>
      <c r="N24" s="82"/>
      <c r="O24" s="82"/>
      <c r="P24" s="82"/>
      <c r="Q24" s="82"/>
      <c r="R24" s="82"/>
      <c r="S24" s="82"/>
      <c r="T24" s="82"/>
      <c r="U24" s="82"/>
      <c r="V24" s="82"/>
      <c r="W24" s="82"/>
      <c r="X24" s="82"/>
      <c r="Y24" s="82"/>
      <c r="Z24" s="83"/>
      <c r="AA24" s="8"/>
    </row>
    <row r="25" spans="1:34" ht="7.5" customHeight="1" x14ac:dyDescent="0.25">
      <c r="A25" s="53" t="str">
        <f>CHOOSE(IF(A24="",8,WEEKDAY(A24,2)),"Monday","Tuesday","Wednesday","Thursday","Friday","Saturday","Sunday","")</f>
        <v>Sunday</v>
      </c>
      <c r="B25" s="54"/>
      <c r="C25" s="54"/>
      <c r="D25" s="54"/>
      <c r="E25" s="55"/>
      <c r="F25" s="84"/>
      <c r="G25" s="85"/>
      <c r="H25" s="85"/>
      <c r="I25" s="85"/>
      <c r="J25" s="85"/>
      <c r="K25" s="85"/>
      <c r="L25" s="85"/>
      <c r="M25" s="85"/>
      <c r="N25" s="85"/>
      <c r="O25" s="85"/>
      <c r="P25" s="85"/>
      <c r="Q25" s="85"/>
      <c r="R25" s="85"/>
      <c r="S25" s="85"/>
      <c r="T25" s="85"/>
      <c r="U25" s="85"/>
      <c r="V25" s="85"/>
      <c r="W25" s="85"/>
      <c r="X25" s="85"/>
      <c r="Y25" s="85"/>
      <c r="Z25" s="86"/>
      <c r="AA25" s="9"/>
    </row>
    <row r="26" spans="1:34" ht="7.5" customHeight="1" x14ac:dyDescent="0.25">
      <c r="A26" s="3" t="s">
        <v>2</v>
      </c>
      <c r="B26" s="4" t="s">
        <v>3</v>
      </c>
      <c r="C26" s="4" t="s">
        <v>4</v>
      </c>
      <c r="D26" s="4" t="s">
        <v>10</v>
      </c>
      <c r="E26" s="4" t="s">
        <v>13</v>
      </c>
      <c r="F26" s="84"/>
      <c r="G26" s="85"/>
      <c r="H26" s="85"/>
      <c r="I26" s="85"/>
      <c r="J26" s="85"/>
      <c r="K26" s="85"/>
      <c r="L26" s="85"/>
      <c r="M26" s="85"/>
      <c r="N26" s="85"/>
      <c r="O26" s="85"/>
      <c r="P26" s="85"/>
      <c r="Q26" s="85"/>
      <c r="R26" s="85"/>
      <c r="S26" s="85"/>
      <c r="T26" s="85"/>
      <c r="U26" s="85"/>
      <c r="V26" s="85"/>
      <c r="W26" s="85"/>
      <c r="X26" s="85"/>
      <c r="Y26" s="85"/>
      <c r="Z26" s="86"/>
      <c r="AA26" s="10" t="s">
        <v>23</v>
      </c>
    </row>
    <row r="27" spans="1:34" ht="18.75" customHeight="1" x14ac:dyDescent="0.25">
      <c r="A27" s="1">
        <v>8</v>
      </c>
      <c r="B27" s="2">
        <v>6</v>
      </c>
      <c r="C27" s="2"/>
      <c r="D27" s="2"/>
      <c r="E27" s="2"/>
      <c r="F27" s="84"/>
      <c r="G27" s="85"/>
      <c r="H27" s="85"/>
      <c r="I27" s="85"/>
      <c r="J27" s="85"/>
      <c r="K27" s="85"/>
      <c r="L27" s="85"/>
      <c r="M27" s="85"/>
      <c r="N27" s="85"/>
      <c r="O27" s="85"/>
      <c r="P27" s="85"/>
      <c r="Q27" s="85"/>
      <c r="R27" s="85"/>
      <c r="S27" s="85"/>
      <c r="T27" s="85"/>
      <c r="U27" s="85"/>
      <c r="V27" s="85"/>
      <c r="W27" s="85"/>
      <c r="X27" s="85"/>
      <c r="Y27" s="85"/>
      <c r="Z27" s="86"/>
      <c r="AA27" s="34"/>
    </row>
    <row r="28" spans="1:34" ht="18.75" customHeight="1" thickBot="1" x14ac:dyDescent="0.3">
      <c r="A28" s="94"/>
      <c r="B28" s="95"/>
      <c r="C28" s="95"/>
      <c r="D28" s="95"/>
      <c r="E28" s="96"/>
      <c r="F28" s="87"/>
      <c r="G28" s="88"/>
      <c r="H28" s="88"/>
      <c r="I28" s="88"/>
      <c r="J28" s="88"/>
      <c r="K28" s="88"/>
      <c r="L28" s="88"/>
      <c r="M28" s="88"/>
      <c r="N28" s="88"/>
      <c r="O28" s="88"/>
      <c r="P28" s="88"/>
      <c r="Q28" s="88"/>
      <c r="R28" s="88"/>
      <c r="S28" s="88"/>
      <c r="T28" s="88"/>
      <c r="U28" s="88"/>
      <c r="V28" s="88"/>
      <c r="W28" s="88"/>
      <c r="X28" s="88"/>
      <c r="Y28" s="88"/>
      <c r="Z28" s="89"/>
      <c r="AA28" s="13"/>
    </row>
    <row r="29" spans="1:34" ht="6.75" customHeight="1" x14ac:dyDescent="0.25">
      <c r="A29" s="53" t="s">
        <v>9</v>
      </c>
      <c r="B29" s="54"/>
      <c r="C29" s="54"/>
      <c r="D29" s="54"/>
      <c r="E29" s="55"/>
      <c r="F29" s="76" t="s">
        <v>0</v>
      </c>
      <c r="G29" s="77"/>
      <c r="H29" s="77"/>
      <c r="I29" s="77"/>
      <c r="J29" s="77"/>
      <c r="K29" s="77"/>
      <c r="L29" s="77"/>
      <c r="M29" s="77"/>
      <c r="N29" s="77"/>
      <c r="O29" s="77"/>
      <c r="P29" s="77"/>
      <c r="Q29" s="77"/>
      <c r="R29" s="77"/>
      <c r="S29" s="77"/>
      <c r="T29" s="77"/>
      <c r="U29" s="77"/>
      <c r="V29" s="77"/>
      <c r="W29" s="77"/>
      <c r="X29" s="77"/>
      <c r="Y29" s="77"/>
      <c r="Z29" s="77"/>
      <c r="AA29" s="78"/>
    </row>
    <row r="30" spans="1:34" ht="18.75" customHeight="1" x14ac:dyDescent="0.25">
      <c r="A30" s="50">
        <f>IF(A24="","",A24+1)</f>
        <v>46083</v>
      </c>
      <c r="B30" s="51"/>
      <c r="C30" s="51"/>
      <c r="D30" s="51"/>
      <c r="E30" s="52"/>
      <c r="F30" s="81" t="s">
        <v>100</v>
      </c>
      <c r="G30" s="82"/>
      <c r="H30" s="82"/>
      <c r="I30" s="82"/>
      <c r="J30" s="82"/>
      <c r="K30" s="82"/>
      <c r="L30" s="82"/>
      <c r="M30" s="82"/>
      <c r="N30" s="82"/>
      <c r="O30" s="82"/>
      <c r="P30" s="82"/>
      <c r="Q30" s="82"/>
      <c r="R30" s="82"/>
      <c r="S30" s="82"/>
      <c r="T30" s="82"/>
      <c r="U30" s="82"/>
      <c r="V30" s="82"/>
      <c r="W30" s="82"/>
      <c r="X30" s="82"/>
      <c r="Y30" s="82"/>
      <c r="Z30" s="83"/>
      <c r="AA30" s="8"/>
    </row>
    <row r="31" spans="1:34" ht="7.5" customHeight="1" x14ac:dyDescent="0.25">
      <c r="A31" s="53" t="str">
        <f>CHOOSE(IF(A30="",8,WEEKDAY(A30,2)),"Monday","Tuesday","Wednesday","Thursday","Friday","Saturday","Sunday","")</f>
        <v>Monday</v>
      </c>
      <c r="B31" s="54"/>
      <c r="C31" s="54"/>
      <c r="D31" s="54"/>
      <c r="E31" s="55"/>
      <c r="F31" s="84"/>
      <c r="G31" s="85"/>
      <c r="H31" s="85"/>
      <c r="I31" s="85"/>
      <c r="J31" s="85"/>
      <c r="K31" s="85"/>
      <c r="L31" s="85"/>
      <c r="M31" s="85"/>
      <c r="N31" s="85"/>
      <c r="O31" s="85"/>
      <c r="P31" s="85"/>
      <c r="Q31" s="85"/>
      <c r="R31" s="85"/>
      <c r="S31" s="85"/>
      <c r="T31" s="85"/>
      <c r="U31" s="85"/>
      <c r="V31" s="85"/>
      <c r="W31" s="85"/>
      <c r="X31" s="85"/>
      <c r="Y31" s="85"/>
      <c r="Z31" s="86"/>
      <c r="AA31" s="9"/>
    </row>
    <row r="32" spans="1:34" ht="7.5" customHeight="1" x14ac:dyDescent="0.25">
      <c r="A32" s="3" t="s">
        <v>2</v>
      </c>
      <c r="B32" s="4" t="s">
        <v>3</v>
      </c>
      <c r="C32" s="4" t="s">
        <v>4</v>
      </c>
      <c r="D32" s="4" t="s">
        <v>10</v>
      </c>
      <c r="E32" s="4" t="s">
        <v>13</v>
      </c>
      <c r="F32" s="84"/>
      <c r="G32" s="85"/>
      <c r="H32" s="85"/>
      <c r="I32" s="85"/>
      <c r="J32" s="85"/>
      <c r="K32" s="85"/>
      <c r="L32" s="85"/>
      <c r="M32" s="85"/>
      <c r="N32" s="85"/>
      <c r="O32" s="85"/>
      <c r="P32" s="85"/>
      <c r="Q32" s="85"/>
      <c r="R32" s="85"/>
      <c r="S32" s="85"/>
      <c r="T32" s="85"/>
      <c r="U32" s="85"/>
      <c r="V32" s="85"/>
      <c r="W32" s="85"/>
      <c r="X32" s="85"/>
      <c r="Y32" s="85"/>
      <c r="Z32" s="86"/>
      <c r="AA32" s="10" t="s">
        <v>23</v>
      </c>
    </row>
    <row r="33" spans="1:27" ht="18.75" customHeight="1" x14ac:dyDescent="0.25">
      <c r="A33" s="1">
        <v>8</v>
      </c>
      <c r="B33" s="2">
        <v>4</v>
      </c>
      <c r="C33" s="2"/>
      <c r="D33" s="2"/>
      <c r="E33" s="2"/>
      <c r="F33" s="84"/>
      <c r="G33" s="85"/>
      <c r="H33" s="85"/>
      <c r="I33" s="85"/>
      <c r="J33" s="85"/>
      <c r="K33" s="85"/>
      <c r="L33" s="85"/>
      <c r="M33" s="85"/>
      <c r="N33" s="85"/>
      <c r="O33" s="85"/>
      <c r="P33" s="85"/>
      <c r="Q33" s="85"/>
      <c r="R33" s="85"/>
      <c r="S33" s="85"/>
      <c r="T33" s="85"/>
      <c r="U33" s="85"/>
      <c r="V33" s="85"/>
      <c r="W33" s="85"/>
      <c r="X33" s="85"/>
      <c r="Y33" s="85"/>
      <c r="Z33" s="86"/>
      <c r="AA33" s="34"/>
    </row>
    <row r="34" spans="1:27" ht="18.75" customHeight="1" thickBot="1" x14ac:dyDescent="0.3">
      <c r="A34" s="94"/>
      <c r="B34" s="95"/>
      <c r="C34" s="95"/>
      <c r="D34" s="95"/>
      <c r="E34" s="96"/>
      <c r="F34" s="87"/>
      <c r="G34" s="88"/>
      <c r="H34" s="88"/>
      <c r="I34" s="88"/>
      <c r="J34" s="88"/>
      <c r="K34" s="88"/>
      <c r="L34" s="88"/>
      <c r="M34" s="88"/>
      <c r="N34" s="88"/>
      <c r="O34" s="88"/>
      <c r="P34" s="88"/>
      <c r="Q34" s="88"/>
      <c r="R34" s="88"/>
      <c r="S34" s="88"/>
      <c r="T34" s="88"/>
      <c r="U34" s="88"/>
      <c r="V34" s="88"/>
      <c r="W34" s="88"/>
      <c r="X34" s="88"/>
      <c r="Y34" s="88"/>
      <c r="Z34" s="89"/>
      <c r="AA34" s="13"/>
    </row>
    <row r="35" spans="1:27" ht="6.75" customHeight="1" x14ac:dyDescent="0.25">
      <c r="A35" s="53" t="s">
        <v>9</v>
      </c>
      <c r="B35" s="54"/>
      <c r="C35" s="54"/>
      <c r="D35" s="54"/>
      <c r="E35" s="55"/>
      <c r="F35" s="76" t="s">
        <v>0</v>
      </c>
      <c r="G35" s="77"/>
      <c r="H35" s="77"/>
      <c r="I35" s="77"/>
      <c r="J35" s="77"/>
      <c r="K35" s="77"/>
      <c r="L35" s="77"/>
      <c r="M35" s="77"/>
      <c r="N35" s="77"/>
      <c r="O35" s="77"/>
      <c r="P35" s="77"/>
      <c r="Q35" s="77"/>
      <c r="R35" s="77"/>
      <c r="S35" s="77"/>
      <c r="T35" s="77"/>
      <c r="U35" s="77"/>
      <c r="V35" s="77"/>
      <c r="W35" s="77"/>
      <c r="X35" s="77"/>
      <c r="Y35" s="77"/>
      <c r="Z35" s="77"/>
      <c r="AA35" s="78"/>
    </row>
    <row r="36" spans="1:27" ht="18.75" customHeight="1" x14ac:dyDescent="0.25">
      <c r="A36" s="50">
        <f>IF(A30="","",A30+1)</f>
        <v>46084</v>
      </c>
      <c r="B36" s="51"/>
      <c r="C36" s="51"/>
      <c r="D36" s="51"/>
      <c r="E36" s="52"/>
      <c r="F36" s="81" t="s">
        <v>101</v>
      </c>
      <c r="G36" s="82"/>
      <c r="H36" s="82"/>
      <c r="I36" s="82"/>
      <c r="J36" s="82"/>
      <c r="K36" s="82"/>
      <c r="L36" s="82"/>
      <c r="M36" s="82"/>
      <c r="N36" s="82"/>
      <c r="O36" s="82"/>
      <c r="P36" s="82"/>
      <c r="Q36" s="82"/>
      <c r="R36" s="82"/>
      <c r="S36" s="82"/>
      <c r="T36" s="82"/>
      <c r="U36" s="82"/>
      <c r="V36" s="82"/>
      <c r="W36" s="82"/>
      <c r="X36" s="82"/>
      <c r="Y36" s="82"/>
      <c r="Z36" s="83"/>
      <c r="AA36" s="8"/>
    </row>
    <row r="37" spans="1:27" ht="7.5" customHeight="1" x14ac:dyDescent="0.25">
      <c r="A37" s="53" t="str">
        <f>CHOOSE(IF(A36="",8,WEEKDAY(A36,2)),"Monday","Tuesday","Wednesday","Thursday","Friday","Saturday","Sunday","")</f>
        <v>Tuesday</v>
      </c>
      <c r="B37" s="54"/>
      <c r="C37" s="54"/>
      <c r="D37" s="54"/>
      <c r="E37" s="55"/>
      <c r="F37" s="84"/>
      <c r="G37" s="85"/>
      <c r="H37" s="85"/>
      <c r="I37" s="85"/>
      <c r="J37" s="85"/>
      <c r="K37" s="85"/>
      <c r="L37" s="85"/>
      <c r="M37" s="85"/>
      <c r="N37" s="85"/>
      <c r="O37" s="85"/>
      <c r="P37" s="85"/>
      <c r="Q37" s="85"/>
      <c r="R37" s="85"/>
      <c r="S37" s="85"/>
      <c r="T37" s="85"/>
      <c r="U37" s="85"/>
      <c r="V37" s="85"/>
      <c r="W37" s="85"/>
      <c r="X37" s="85"/>
      <c r="Y37" s="85"/>
      <c r="Z37" s="86"/>
      <c r="AA37" s="9"/>
    </row>
    <row r="38" spans="1:27" ht="7.5" customHeight="1" x14ac:dyDescent="0.25">
      <c r="A38" s="3" t="s">
        <v>2</v>
      </c>
      <c r="B38" s="4" t="s">
        <v>3</v>
      </c>
      <c r="C38" s="4" t="s">
        <v>4</v>
      </c>
      <c r="D38" s="4" t="s">
        <v>10</v>
      </c>
      <c r="E38" s="4" t="s">
        <v>13</v>
      </c>
      <c r="F38" s="84"/>
      <c r="G38" s="85"/>
      <c r="H38" s="85"/>
      <c r="I38" s="85"/>
      <c r="J38" s="85"/>
      <c r="K38" s="85"/>
      <c r="L38" s="85"/>
      <c r="M38" s="85"/>
      <c r="N38" s="85"/>
      <c r="O38" s="85"/>
      <c r="P38" s="85"/>
      <c r="Q38" s="85"/>
      <c r="R38" s="85"/>
      <c r="S38" s="85"/>
      <c r="T38" s="85"/>
      <c r="U38" s="85"/>
      <c r="V38" s="85"/>
      <c r="W38" s="85"/>
      <c r="X38" s="85"/>
      <c r="Y38" s="85"/>
      <c r="Z38" s="86"/>
      <c r="AA38" s="10" t="s">
        <v>23</v>
      </c>
    </row>
    <row r="39" spans="1:27" ht="18.75" customHeight="1" x14ac:dyDescent="0.25">
      <c r="A39" s="1">
        <v>8</v>
      </c>
      <c r="B39" s="2">
        <v>3</v>
      </c>
      <c r="C39" s="2"/>
      <c r="D39" s="2"/>
      <c r="E39" s="2"/>
      <c r="F39" s="84"/>
      <c r="G39" s="85"/>
      <c r="H39" s="85"/>
      <c r="I39" s="85"/>
      <c r="J39" s="85"/>
      <c r="K39" s="85"/>
      <c r="L39" s="85"/>
      <c r="M39" s="85"/>
      <c r="N39" s="85"/>
      <c r="O39" s="85"/>
      <c r="P39" s="85"/>
      <c r="Q39" s="85"/>
      <c r="R39" s="85"/>
      <c r="S39" s="85"/>
      <c r="T39" s="85"/>
      <c r="U39" s="85"/>
      <c r="V39" s="85"/>
      <c r="W39" s="85"/>
      <c r="X39" s="85"/>
      <c r="Y39" s="85"/>
      <c r="Z39" s="86"/>
      <c r="AA39" s="34"/>
    </row>
    <row r="40" spans="1:27" ht="18.75" customHeight="1" thickBot="1" x14ac:dyDescent="0.3">
      <c r="A40" s="94"/>
      <c r="B40" s="95"/>
      <c r="C40" s="95"/>
      <c r="D40" s="95"/>
      <c r="E40" s="96"/>
      <c r="F40" s="87"/>
      <c r="G40" s="88"/>
      <c r="H40" s="88"/>
      <c r="I40" s="88"/>
      <c r="J40" s="88"/>
      <c r="K40" s="88"/>
      <c r="L40" s="88"/>
      <c r="M40" s="88"/>
      <c r="N40" s="88"/>
      <c r="O40" s="88"/>
      <c r="P40" s="88"/>
      <c r="Q40" s="88"/>
      <c r="R40" s="88"/>
      <c r="S40" s="88"/>
      <c r="T40" s="88"/>
      <c r="U40" s="88"/>
      <c r="V40" s="88"/>
      <c r="W40" s="88"/>
      <c r="X40" s="88"/>
      <c r="Y40" s="88"/>
      <c r="Z40" s="89"/>
      <c r="AA40" s="13"/>
    </row>
    <row r="41" spans="1:27" ht="6.75" customHeight="1" x14ac:dyDescent="0.25">
      <c r="A41" s="53" t="s">
        <v>9</v>
      </c>
      <c r="B41" s="54"/>
      <c r="C41" s="54"/>
      <c r="D41" s="54"/>
      <c r="E41" s="55"/>
      <c r="F41" s="76" t="s">
        <v>0</v>
      </c>
      <c r="G41" s="77"/>
      <c r="H41" s="77"/>
      <c r="I41" s="77"/>
      <c r="J41" s="77"/>
      <c r="K41" s="77"/>
      <c r="L41" s="77"/>
      <c r="M41" s="77"/>
      <c r="N41" s="77"/>
      <c r="O41" s="77"/>
      <c r="P41" s="77"/>
      <c r="Q41" s="77"/>
      <c r="R41" s="77"/>
      <c r="S41" s="77"/>
      <c r="T41" s="77"/>
      <c r="U41" s="77"/>
      <c r="V41" s="77"/>
      <c r="W41" s="77"/>
      <c r="X41" s="77"/>
      <c r="Y41" s="77"/>
      <c r="Z41" s="77"/>
      <c r="AA41" s="78"/>
    </row>
    <row r="42" spans="1:27" ht="18.75" customHeight="1" x14ac:dyDescent="0.25">
      <c r="A42" s="50">
        <f>IF(A36="","",A36+1)</f>
        <v>46085</v>
      </c>
      <c r="B42" s="51"/>
      <c r="C42" s="51"/>
      <c r="D42" s="51"/>
      <c r="E42" s="52"/>
      <c r="F42" s="81" t="s">
        <v>102</v>
      </c>
      <c r="G42" s="82"/>
      <c r="H42" s="82"/>
      <c r="I42" s="82"/>
      <c r="J42" s="82"/>
      <c r="K42" s="82"/>
      <c r="L42" s="82"/>
      <c r="M42" s="82"/>
      <c r="N42" s="82"/>
      <c r="O42" s="82"/>
      <c r="P42" s="82"/>
      <c r="Q42" s="82"/>
      <c r="R42" s="82"/>
      <c r="S42" s="82"/>
      <c r="T42" s="82"/>
      <c r="U42" s="82"/>
      <c r="V42" s="82"/>
      <c r="W42" s="82"/>
      <c r="X42" s="82"/>
      <c r="Y42" s="82"/>
      <c r="Z42" s="83"/>
      <c r="AA42" s="8"/>
    </row>
    <row r="43" spans="1:27" ht="7.5" customHeight="1" x14ac:dyDescent="0.25">
      <c r="A43" s="53" t="str">
        <f>CHOOSE(IF(A42="",8,WEEKDAY(A42,2)),"Monday","Tuesday","Wednesday","Thursday","Friday","Saturday","Sunday","")</f>
        <v>Wednesday</v>
      </c>
      <c r="B43" s="54"/>
      <c r="C43" s="54"/>
      <c r="D43" s="54"/>
      <c r="E43" s="55"/>
      <c r="F43" s="84"/>
      <c r="G43" s="85"/>
      <c r="H43" s="85"/>
      <c r="I43" s="85"/>
      <c r="J43" s="85"/>
      <c r="K43" s="85"/>
      <c r="L43" s="85"/>
      <c r="M43" s="85"/>
      <c r="N43" s="85"/>
      <c r="O43" s="85"/>
      <c r="P43" s="85"/>
      <c r="Q43" s="85"/>
      <c r="R43" s="85"/>
      <c r="S43" s="85"/>
      <c r="T43" s="85"/>
      <c r="U43" s="85"/>
      <c r="V43" s="85"/>
      <c r="W43" s="85"/>
      <c r="X43" s="85"/>
      <c r="Y43" s="85"/>
      <c r="Z43" s="86"/>
      <c r="AA43" s="9"/>
    </row>
    <row r="44" spans="1:27" ht="7.5" customHeight="1" x14ac:dyDescent="0.25">
      <c r="A44" s="3" t="s">
        <v>2</v>
      </c>
      <c r="B44" s="4" t="s">
        <v>3</v>
      </c>
      <c r="C44" s="4" t="s">
        <v>4</v>
      </c>
      <c r="D44" s="4" t="s">
        <v>10</v>
      </c>
      <c r="E44" s="4" t="s">
        <v>13</v>
      </c>
      <c r="F44" s="84"/>
      <c r="G44" s="85"/>
      <c r="H44" s="85"/>
      <c r="I44" s="85"/>
      <c r="J44" s="85"/>
      <c r="K44" s="85"/>
      <c r="L44" s="85"/>
      <c r="M44" s="85"/>
      <c r="N44" s="85"/>
      <c r="O44" s="85"/>
      <c r="P44" s="85"/>
      <c r="Q44" s="85"/>
      <c r="R44" s="85"/>
      <c r="S44" s="85"/>
      <c r="T44" s="85"/>
      <c r="U44" s="85"/>
      <c r="V44" s="85"/>
      <c r="W44" s="85"/>
      <c r="X44" s="85"/>
      <c r="Y44" s="85"/>
      <c r="Z44" s="86"/>
      <c r="AA44" s="10" t="s">
        <v>23</v>
      </c>
    </row>
    <row r="45" spans="1:27" ht="18.75" customHeight="1" x14ac:dyDescent="0.25">
      <c r="A45" s="1"/>
      <c r="B45" s="2"/>
      <c r="C45" s="2"/>
      <c r="D45" s="2">
        <v>4.5</v>
      </c>
      <c r="E45" s="2"/>
      <c r="F45" s="84"/>
      <c r="G45" s="85"/>
      <c r="H45" s="85"/>
      <c r="I45" s="85"/>
      <c r="J45" s="85"/>
      <c r="K45" s="85"/>
      <c r="L45" s="85"/>
      <c r="M45" s="85"/>
      <c r="N45" s="85"/>
      <c r="O45" s="85"/>
      <c r="P45" s="85"/>
      <c r="Q45" s="85"/>
      <c r="R45" s="85"/>
      <c r="S45" s="85"/>
      <c r="T45" s="85"/>
      <c r="U45" s="85"/>
      <c r="V45" s="85"/>
      <c r="W45" s="85"/>
      <c r="X45" s="85"/>
      <c r="Y45" s="85"/>
      <c r="Z45" s="86"/>
      <c r="AA45" s="34"/>
    </row>
    <row r="46" spans="1:27" ht="18.75" customHeight="1" thickBot="1" x14ac:dyDescent="0.3">
      <c r="A46" s="94"/>
      <c r="B46" s="95"/>
      <c r="C46" s="95"/>
      <c r="D46" s="95"/>
      <c r="E46" s="96"/>
      <c r="F46" s="87"/>
      <c r="G46" s="88"/>
      <c r="H46" s="88"/>
      <c r="I46" s="88"/>
      <c r="J46" s="88"/>
      <c r="K46" s="88"/>
      <c r="L46" s="88"/>
      <c r="M46" s="88"/>
      <c r="N46" s="88"/>
      <c r="O46" s="88"/>
      <c r="P46" s="88"/>
      <c r="Q46" s="88"/>
      <c r="R46" s="88"/>
      <c r="S46" s="88"/>
      <c r="T46" s="88"/>
      <c r="U46" s="88"/>
      <c r="V46" s="88"/>
      <c r="W46" s="88"/>
      <c r="X46" s="88"/>
      <c r="Y46" s="88"/>
      <c r="Z46" s="89"/>
      <c r="AA46" s="13"/>
    </row>
    <row r="47" spans="1:27" ht="6.75" customHeight="1" x14ac:dyDescent="0.25">
      <c r="A47" s="53" t="s">
        <v>11</v>
      </c>
      <c r="B47" s="54"/>
      <c r="C47" s="54"/>
      <c r="D47" s="54"/>
      <c r="E47" s="55"/>
      <c r="F47" s="76" t="s">
        <v>12</v>
      </c>
      <c r="G47" s="77"/>
      <c r="H47" s="77"/>
      <c r="I47" s="77"/>
      <c r="J47" s="77"/>
      <c r="K47" s="77"/>
      <c r="L47" s="77"/>
      <c r="M47" s="77"/>
      <c r="N47" s="77"/>
      <c r="O47" s="77"/>
      <c r="P47" s="77"/>
      <c r="Q47" s="77"/>
      <c r="R47" s="77"/>
      <c r="S47" s="77"/>
      <c r="T47" s="77"/>
      <c r="U47" s="77"/>
      <c r="V47" s="77"/>
      <c r="W47" s="77"/>
      <c r="X47" s="77"/>
      <c r="Y47" s="77"/>
      <c r="Z47" s="77"/>
      <c r="AA47" s="78"/>
    </row>
    <row r="48" spans="1:27" ht="7.5" customHeight="1" x14ac:dyDescent="0.25">
      <c r="A48" s="3" t="s">
        <v>2</v>
      </c>
      <c r="B48" s="4" t="s">
        <v>3</v>
      </c>
      <c r="C48" s="4" t="s">
        <v>4</v>
      </c>
      <c r="D48" s="4" t="s">
        <v>10</v>
      </c>
      <c r="E48" s="4" t="s">
        <v>13</v>
      </c>
      <c r="F48" s="67"/>
      <c r="G48" s="68"/>
      <c r="H48" s="68"/>
      <c r="I48" s="68"/>
      <c r="J48" s="68"/>
      <c r="K48" s="68"/>
      <c r="L48" s="68"/>
      <c r="M48" s="68"/>
      <c r="N48" s="68"/>
      <c r="O48" s="68"/>
      <c r="P48" s="68"/>
      <c r="Q48" s="68"/>
      <c r="R48" s="68"/>
      <c r="S48" s="68"/>
      <c r="T48" s="68"/>
      <c r="U48" s="68"/>
      <c r="V48" s="68"/>
      <c r="W48" s="68"/>
      <c r="X48" s="68"/>
      <c r="Y48" s="68"/>
      <c r="Z48" s="69"/>
      <c r="AA48" s="10" t="s">
        <v>23</v>
      </c>
    </row>
    <row r="49" spans="1:28" ht="18.75" customHeight="1" x14ac:dyDescent="0.25">
      <c r="A49" s="11">
        <f>A9+A15+A21+A27+A33+A39+A45</f>
        <v>32</v>
      </c>
      <c r="B49" s="12">
        <f>B9+B15+B21+B27+B33+B39+B45</f>
        <v>16</v>
      </c>
      <c r="C49" s="12">
        <f>C9+C15+C21+C27+C33+C39+C45</f>
        <v>0</v>
      </c>
      <c r="D49" s="12">
        <f>D9+D15+D21+D27+D33+D39+D45</f>
        <v>4.5</v>
      </c>
      <c r="E49" s="12">
        <f>E9+E15+E21+E27+E33+E39+E45</f>
        <v>0</v>
      </c>
      <c r="F49" s="70"/>
      <c r="G49" s="71"/>
      <c r="H49" s="71"/>
      <c r="I49" s="71"/>
      <c r="J49" s="71"/>
      <c r="K49" s="71"/>
      <c r="L49" s="71"/>
      <c r="M49" s="71"/>
      <c r="N49" s="71"/>
      <c r="O49" s="71"/>
      <c r="P49" s="71"/>
      <c r="Q49" s="71"/>
      <c r="R49" s="71"/>
      <c r="S49" s="71"/>
      <c r="T49" s="71"/>
      <c r="U49" s="71"/>
      <c r="V49" s="71"/>
      <c r="W49" s="71"/>
      <c r="X49" s="71"/>
      <c r="Y49" s="71"/>
      <c r="Z49" s="72"/>
      <c r="AA49" s="30"/>
    </row>
    <row r="50" spans="1:28" ht="7.5" customHeight="1" thickBot="1" x14ac:dyDescent="0.3">
      <c r="A50" s="64" t="s">
        <v>1</v>
      </c>
      <c r="B50" s="65"/>
      <c r="C50" s="65"/>
      <c r="D50" s="66"/>
      <c r="E50" s="128"/>
      <c r="F50" s="70"/>
      <c r="G50" s="71"/>
      <c r="H50" s="71"/>
      <c r="I50" s="71"/>
      <c r="J50" s="71"/>
      <c r="K50" s="71"/>
      <c r="L50" s="71"/>
      <c r="M50" s="71"/>
      <c r="N50" s="71"/>
      <c r="O50" s="71"/>
      <c r="P50" s="71"/>
      <c r="Q50" s="71"/>
      <c r="R50" s="71"/>
      <c r="S50" s="71"/>
      <c r="T50" s="71"/>
      <c r="U50" s="71"/>
      <c r="V50" s="71"/>
      <c r="W50" s="71"/>
      <c r="X50" s="71"/>
      <c r="Y50" s="71"/>
      <c r="Z50" s="72"/>
      <c r="AA50" s="29" t="s">
        <v>39</v>
      </c>
    </row>
    <row r="51" spans="1:28" ht="18.75" customHeight="1" thickBot="1" x14ac:dyDescent="0.3">
      <c r="A51" s="130">
        <f>A49+B49+C49+D49</f>
        <v>52.5</v>
      </c>
      <c r="B51" s="131"/>
      <c r="C51" s="131"/>
      <c r="D51" s="132"/>
      <c r="E51" s="129"/>
      <c r="F51" s="73"/>
      <c r="G51" s="74"/>
      <c r="H51" s="74"/>
      <c r="I51" s="74"/>
      <c r="J51" s="74"/>
      <c r="K51" s="74"/>
      <c r="L51" s="74"/>
      <c r="M51" s="74"/>
      <c r="N51" s="74"/>
      <c r="O51" s="74"/>
      <c r="P51" s="74"/>
      <c r="Q51" s="74"/>
      <c r="R51" s="74"/>
      <c r="S51" s="74"/>
      <c r="T51" s="74"/>
      <c r="U51" s="74"/>
      <c r="V51" s="74"/>
      <c r="W51" s="74"/>
      <c r="X51" s="74"/>
      <c r="Y51" s="74"/>
      <c r="Z51" s="75"/>
      <c r="AA51" s="35">
        <f>AA9+AA15+AA21+AA27+AA33+AA39+AA45</f>
        <v>0</v>
      </c>
    </row>
    <row r="52" spans="1:28" ht="2.25" customHeight="1" thickTop="1" x14ac:dyDescent="0.25"/>
    <row r="53" spans="1:28" ht="3" customHeight="1" x14ac:dyDescent="0.25"/>
    <row r="54" spans="1:28" ht="21.75" customHeight="1" x14ac:dyDescent="0.25">
      <c r="A54" s="148" t="s">
        <v>22</v>
      </c>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50"/>
    </row>
    <row r="55" spans="1:28" ht="21" customHeight="1" x14ac:dyDescent="0.25">
      <c r="A55" s="145" t="s">
        <v>43</v>
      </c>
      <c r="B55" s="146"/>
      <c r="C55" s="146"/>
      <c r="D55" s="146"/>
      <c r="E55" s="156" t="s">
        <v>96</v>
      </c>
      <c r="F55" s="157"/>
      <c r="G55" s="157"/>
      <c r="H55" s="157"/>
      <c r="I55" s="157"/>
      <c r="J55" s="155"/>
      <c r="K55" s="79" t="s">
        <v>42</v>
      </c>
      <c r="L55" s="80"/>
      <c r="M55" s="151"/>
      <c r="N55" s="152"/>
      <c r="O55" s="145" t="s">
        <v>19</v>
      </c>
      <c r="P55" s="147"/>
      <c r="Q55" s="147"/>
      <c r="R55" s="147"/>
      <c r="S55" s="153"/>
      <c r="T55" s="154"/>
      <c r="U55" s="154"/>
      <c r="V55" s="154"/>
      <c r="W55" s="154"/>
      <c r="X55" s="154"/>
      <c r="Y55" s="154"/>
      <c r="Z55" s="154"/>
      <c r="AA55" s="155"/>
      <c r="AB55" s="15"/>
    </row>
    <row r="56" spans="1:28" ht="21" customHeight="1" x14ac:dyDescent="0.25">
      <c r="A56" s="31" t="s">
        <v>5</v>
      </c>
      <c r="B56" s="90"/>
      <c r="C56" s="91"/>
      <c r="D56" s="91"/>
      <c r="E56" s="91"/>
      <c r="F56" s="91"/>
      <c r="G56" s="91"/>
      <c r="H56" s="91"/>
      <c r="I56" s="92"/>
      <c r="J56" s="16"/>
      <c r="K56" s="32" t="s">
        <v>6</v>
      </c>
      <c r="L56" s="90"/>
      <c r="M56" s="91"/>
      <c r="N56" s="92"/>
      <c r="O56" s="59" t="s">
        <v>5</v>
      </c>
      <c r="P56" s="60"/>
      <c r="Q56" s="90"/>
      <c r="R56" s="91"/>
      <c r="S56" s="91"/>
      <c r="T56" s="91"/>
      <c r="U56" s="91"/>
      <c r="V56" s="91"/>
      <c r="W56" s="92"/>
      <c r="X56" s="33" t="s">
        <v>6</v>
      </c>
      <c r="Y56" s="61"/>
      <c r="Z56" s="62"/>
      <c r="AA56" s="63"/>
    </row>
    <row r="57" spans="1:28" ht="18.75" customHeight="1" x14ac:dyDescent="0.25">
      <c r="F57" s="6"/>
    </row>
    <row r="58" spans="1:28" ht="18.75" customHeight="1" x14ac:dyDescent="0.25">
      <c r="F58" s="6"/>
    </row>
    <row r="59" spans="1:28" ht="18.75" customHeight="1" x14ac:dyDescent="0.25">
      <c r="A59" s="46" t="s">
        <v>95</v>
      </c>
      <c r="F59" s="6"/>
    </row>
    <row r="60" spans="1:28" ht="32.25" customHeight="1" x14ac:dyDescent="0.25">
      <c r="A60" s="99" t="s">
        <v>21</v>
      </c>
      <c r="B60" s="99"/>
      <c r="C60" s="99"/>
      <c r="D60" s="99"/>
      <c r="E60" s="99"/>
      <c r="F60" s="99"/>
      <c r="G60" s="99"/>
      <c r="H60" s="99"/>
      <c r="I60" s="99"/>
    </row>
    <row r="61" spans="1:28" ht="11.25" customHeight="1" x14ac:dyDescent="0.25"/>
    <row r="62" spans="1:28" ht="11.25" customHeight="1" x14ac:dyDescent="0.25"/>
    <row r="63" spans="1:28" ht="11.25" customHeight="1" x14ac:dyDescent="0.25"/>
    <row r="64" spans="1:28" ht="11.25" customHeight="1" x14ac:dyDescent="0.25"/>
    <row r="65" spans="1:10" ht="11.25" customHeight="1" x14ac:dyDescent="0.25"/>
    <row r="66" spans="1:10" ht="11.25" customHeight="1" x14ac:dyDescent="0.25"/>
    <row r="67" spans="1:10" ht="11.25" customHeight="1" x14ac:dyDescent="0.25"/>
    <row r="68" spans="1:10" ht="11.25" customHeight="1" x14ac:dyDescent="0.25"/>
    <row r="69" spans="1:10" ht="11.25" customHeight="1" x14ac:dyDescent="0.25">
      <c r="A69" s="5" t="s">
        <v>18</v>
      </c>
    </row>
    <row r="70" spans="1:10" ht="11.25" customHeight="1" x14ac:dyDescent="0.25">
      <c r="C70" s="5" t="s">
        <v>16</v>
      </c>
    </row>
    <row r="71" spans="1:10" ht="11.25" customHeight="1" x14ac:dyDescent="0.25">
      <c r="C71" s="5" t="s">
        <v>7</v>
      </c>
    </row>
    <row r="72" spans="1:10" ht="11.25" customHeight="1" x14ac:dyDescent="0.25">
      <c r="G72" s="5" t="s">
        <v>15</v>
      </c>
    </row>
    <row r="73" spans="1:10" ht="11.25" customHeight="1" x14ac:dyDescent="0.25">
      <c r="J73" s="5" t="s">
        <v>17</v>
      </c>
    </row>
    <row r="74" spans="1:10" ht="11.25" customHeight="1" x14ac:dyDescent="0.25"/>
    <row r="75" spans="1:10" ht="11.25" customHeight="1" x14ac:dyDescent="0.25"/>
    <row r="76" spans="1:10" ht="11.25" customHeight="1" x14ac:dyDescent="0.25"/>
    <row r="77" spans="1:10" ht="11.25" customHeight="1" x14ac:dyDescent="0.25"/>
    <row r="78" spans="1:10" ht="11.25" customHeight="1" x14ac:dyDescent="0.25"/>
    <row r="79" spans="1:10" ht="11.25" customHeight="1" x14ac:dyDescent="0.25"/>
    <row r="80" spans="1:10" ht="11.25" customHeight="1" x14ac:dyDescent="0.25"/>
    <row r="81" spans="1:15" ht="11.25" customHeight="1" x14ac:dyDescent="0.25"/>
    <row r="82" spans="1:15" ht="11.25" customHeight="1" x14ac:dyDescent="0.25"/>
    <row r="83" spans="1:15" ht="11.25" customHeight="1" x14ac:dyDescent="0.25"/>
    <row r="84" spans="1:15" ht="11.25" customHeight="1" x14ac:dyDescent="0.25"/>
    <row r="85" spans="1:15" ht="11.25" customHeight="1" x14ac:dyDescent="0.25"/>
    <row r="86" spans="1:15" ht="11.25" customHeight="1" x14ac:dyDescent="0.25"/>
    <row r="87" spans="1:15" ht="11.25" customHeight="1" x14ac:dyDescent="0.25"/>
    <row r="88" spans="1:15" ht="11.25" customHeight="1" x14ac:dyDescent="0.25"/>
    <row r="89" spans="1:15" ht="11.25" customHeight="1" x14ac:dyDescent="0.25"/>
    <row r="90" spans="1:15" ht="11.25" customHeight="1" x14ac:dyDescent="0.25"/>
    <row r="91" spans="1:15" ht="11.25" customHeight="1" x14ac:dyDescent="0.25"/>
    <row r="92" spans="1:15" ht="11.25" customHeight="1" x14ac:dyDescent="0.25">
      <c r="A92" s="17"/>
      <c r="B92" s="17"/>
      <c r="C92" s="17"/>
      <c r="D92" s="17"/>
      <c r="E92" s="17"/>
      <c r="F92" s="17"/>
      <c r="G92" s="17"/>
      <c r="H92" s="17"/>
      <c r="I92" s="17"/>
      <c r="J92" s="17"/>
      <c r="K92" s="17"/>
    </row>
    <row r="93" spans="1:15" ht="11.25" customHeight="1" x14ac:dyDescent="0.25">
      <c r="A93" s="17"/>
      <c r="B93" s="17"/>
      <c r="C93" s="17"/>
      <c r="D93" s="17"/>
      <c r="E93" s="17"/>
      <c r="F93" s="17"/>
      <c r="G93" s="17"/>
      <c r="H93" s="17"/>
      <c r="I93" s="17"/>
      <c r="J93" s="17"/>
      <c r="K93" s="17"/>
    </row>
    <row r="94" spans="1:15" ht="11.25" customHeight="1" x14ac:dyDescent="0.25">
      <c r="A94" s="17"/>
      <c r="B94" s="17"/>
      <c r="C94" s="17"/>
      <c r="D94" s="17"/>
      <c r="E94" s="17"/>
      <c r="F94" s="17"/>
      <c r="G94" s="17"/>
      <c r="H94" s="17"/>
      <c r="I94" s="17"/>
      <c r="J94" s="17"/>
      <c r="K94" s="17"/>
    </row>
    <row r="95" spans="1:15" ht="11.25" customHeight="1" x14ac:dyDescent="0.25">
      <c r="A95" s="17"/>
      <c r="B95" s="17"/>
      <c r="C95" s="17"/>
      <c r="D95" s="17"/>
      <c r="E95" s="17"/>
      <c r="F95" s="17"/>
      <c r="G95" s="17"/>
      <c r="H95" s="17"/>
      <c r="I95" s="17"/>
      <c r="J95" s="17"/>
      <c r="K95" s="17"/>
      <c r="L95" s="18"/>
      <c r="M95" s="18"/>
      <c r="N95" s="18"/>
      <c r="O95" s="18"/>
    </row>
    <row r="96" spans="1:15" s="17" customFormat="1" ht="11.25" customHeight="1" x14ac:dyDescent="0.25">
      <c r="A96" s="17" t="s">
        <v>14</v>
      </c>
      <c r="L96" s="18"/>
      <c r="M96" s="18"/>
      <c r="N96" s="18"/>
      <c r="O96" s="18"/>
    </row>
    <row r="97" spans="1:15" s="17" customFormat="1" ht="11.25" customHeight="1" x14ac:dyDescent="0.25">
      <c r="A97" s="97">
        <f>IF(A6=0,"",A6)</f>
        <v>46079</v>
      </c>
      <c r="B97" s="97"/>
      <c r="C97" s="97"/>
      <c r="F97" s="19"/>
      <c r="G97" s="19"/>
      <c r="H97" s="19"/>
      <c r="I97" s="19"/>
      <c r="L97" s="18"/>
      <c r="M97" s="18"/>
      <c r="N97" s="18"/>
      <c r="O97" s="18"/>
    </row>
    <row r="98" spans="1:15" s="17" customFormat="1" ht="11.25" customHeight="1" x14ac:dyDescent="0.25">
      <c r="A98" s="97">
        <f>IF(A12=0,"",A12)</f>
        <v>46080</v>
      </c>
      <c r="B98" s="97"/>
      <c r="C98" s="97"/>
      <c r="L98" s="18"/>
      <c r="M98" s="18"/>
      <c r="N98" s="18"/>
      <c r="O98" s="18"/>
    </row>
    <row r="99" spans="1:15" s="17" customFormat="1" ht="11.25" customHeight="1" x14ac:dyDescent="0.25">
      <c r="A99" s="97">
        <f>IF(A18=0,"",A18)</f>
        <v>46081</v>
      </c>
      <c r="B99" s="97"/>
      <c r="C99" s="97"/>
      <c r="L99" s="18"/>
      <c r="M99" s="18"/>
      <c r="N99" s="18"/>
      <c r="O99" s="18"/>
    </row>
    <row r="100" spans="1:15" s="17" customFormat="1" ht="11.25" customHeight="1" x14ac:dyDescent="0.25">
      <c r="A100" s="97">
        <f>IF(A24=0,"",A24)</f>
        <v>46082</v>
      </c>
      <c r="B100" s="97"/>
      <c r="C100" s="97"/>
      <c r="L100" s="18"/>
      <c r="M100" s="18"/>
      <c r="N100" s="18"/>
      <c r="O100" s="18"/>
    </row>
    <row r="101" spans="1:15" s="17" customFormat="1" ht="11.25" customHeight="1" x14ac:dyDescent="0.25">
      <c r="A101" s="97">
        <f>IF(A30=0,"",A30)</f>
        <v>46083</v>
      </c>
      <c r="B101" s="97"/>
      <c r="C101" s="97"/>
      <c r="L101" s="18"/>
      <c r="M101" s="18"/>
      <c r="N101" s="18"/>
      <c r="O101" s="18"/>
    </row>
    <row r="102" spans="1:15" s="17" customFormat="1" ht="11.25" customHeight="1" x14ac:dyDescent="0.25">
      <c r="A102" s="97">
        <f>IF(A36=0,"",A36)</f>
        <v>46084</v>
      </c>
      <c r="B102" s="97"/>
      <c r="C102" s="97"/>
      <c r="L102" s="18"/>
      <c r="M102" s="18"/>
      <c r="N102" s="18"/>
      <c r="O102" s="18"/>
    </row>
    <row r="103" spans="1:15" s="17" customFormat="1" ht="11.25" customHeight="1" x14ac:dyDescent="0.25">
      <c r="A103" s="97">
        <f>IF(A42=0,"",A42)</f>
        <v>46085</v>
      </c>
      <c r="B103" s="97"/>
      <c r="C103" s="97"/>
      <c r="L103" s="18"/>
      <c r="M103" s="18"/>
      <c r="N103" s="18"/>
      <c r="O103" s="18"/>
    </row>
    <row r="104" spans="1:15" s="17" customFormat="1" ht="11.25" customHeight="1" x14ac:dyDescent="0.25">
      <c r="A104" s="97">
        <f>MIN(A97:C102)</f>
        <v>46079</v>
      </c>
      <c r="B104" s="97"/>
      <c r="C104" s="97"/>
      <c r="D104" s="17">
        <f>DAY(A104)</f>
        <v>26</v>
      </c>
      <c r="E104" s="17">
        <f>MONTH(A104)</f>
        <v>2</v>
      </c>
      <c r="F104" s="98">
        <f>YEAR(A104)</f>
        <v>2026</v>
      </c>
      <c r="G104" s="98"/>
      <c r="H104" s="20">
        <f>IF(D104&lt;10,CONCATENATE("0",D104),D104)</f>
        <v>26</v>
      </c>
      <c r="I104" s="20" t="str">
        <f>IF(E104&lt;10,CONCATENATE("0",E104),E104)</f>
        <v>02</v>
      </c>
      <c r="J104" s="17" t="str">
        <f>RIGHT(F104,2)</f>
        <v>26</v>
      </c>
      <c r="L104" s="18"/>
      <c r="M104" s="18"/>
      <c r="N104" s="18"/>
      <c r="O104" s="18"/>
    </row>
    <row r="105" spans="1:15" s="17" customFormat="1" ht="11.25" customHeight="1" x14ac:dyDescent="0.25">
      <c r="A105" s="97">
        <f>MAX(A97:C103)</f>
        <v>46085</v>
      </c>
      <c r="B105" s="97"/>
      <c r="C105" s="97"/>
      <c r="D105" s="17">
        <f>DAY(A105)</f>
        <v>4</v>
      </c>
      <c r="E105" s="17">
        <f>MONTH(A105)</f>
        <v>3</v>
      </c>
      <c r="F105" s="98">
        <f>YEAR(A105)</f>
        <v>2026</v>
      </c>
      <c r="G105" s="98"/>
      <c r="H105" s="20" t="str">
        <f>IF(D105&lt;10,CONCATENATE("0",D105),D105)</f>
        <v>04</v>
      </c>
      <c r="I105" s="20" t="str">
        <f>IF(E105&lt;10,CONCATENATE("0",E105),E105)</f>
        <v>03</v>
      </c>
      <c r="J105" s="17" t="str">
        <f>RIGHT(F105,2)</f>
        <v>26</v>
      </c>
      <c r="L105" s="18"/>
      <c r="M105" s="18"/>
      <c r="N105" s="18"/>
      <c r="O105" s="18"/>
    </row>
    <row r="106" spans="1:15" s="17" customFormat="1" ht="11.25" customHeight="1" x14ac:dyDescent="0.25">
      <c r="A106" s="93" t="str">
        <f>IF(A104=A105,"Date Covered (","Dates Covered (")</f>
        <v>Dates Covered (</v>
      </c>
      <c r="B106" s="93"/>
      <c r="C106" s="93"/>
      <c r="D106" s="93"/>
      <c r="E106" s="93"/>
      <c r="L106" s="18"/>
      <c r="M106" s="18"/>
      <c r="N106" s="18"/>
      <c r="O106" s="18"/>
    </row>
    <row r="107" spans="1:15" s="17" customFormat="1" ht="11.25" customHeight="1" x14ac:dyDescent="0.25">
      <c r="A107" s="93" t="str">
        <f>IF(A104=A105,CONCATENATE(E104,"/",D104,"/",F104),CONCATENATE(E104,"/",D104,"/",F104," - ",E105,"/",D105,"/",F105))</f>
        <v>2/26/2026 - 3/4/2026</v>
      </c>
      <c r="B107" s="93"/>
      <c r="C107" s="93"/>
      <c r="D107" s="93"/>
      <c r="E107" s="93"/>
      <c r="L107" s="18"/>
      <c r="M107" s="18"/>
      <c r="N107" s="18"/>
      <c r="O107" s="18"/>
    </row>
    <row r="108" spans="1:15" ht="11.25" customHeight="1" x14ac:dyDescent="0.25">
      <c r="A108" s="93"/>
      <c r="B108" s="93"/>
      <c r="C108" s="93"/>
      <c r="D108" s="93"/>
      <c r="E108" s="93"/>
      <c r="F108" s="17"/>
      <c r="G108" s="17"/>
      <c r="H108" s="17"/>
      <c r="I108" s="17"/>
      <c r="J108" s="17"/>
      <c r="K108" s="17"/>
      <c r="L108" s="18"/>
      <c r="M108" s="18"/>
      <c r="N108" s="18"/>
      <c r="O108" s="18"/>
    </row>
    <row r="109" spans="1:15" ht="18.75" customHeight="1" x14ac:dyDescent="0.25">
      <c r="A109" s="17"/>
      <c r="B109" s="17"/>
      <c r="C109" s="17"/>
      <c r="D109" s="17"/>
      <c r="E109" s="17"/>
      <c r="F109" s="17"/>
      <c r="G109" s="17"/>
      <c r="H109" s="17"/>
      <c r="I109" s="17"/>
      <c r="J109" s="17"/>
      <c r="K109" s="17"/>
      <c r="L109" s="18"/>
      <c r="M109" s="18"/>
      <c r="N109" s="18"/>
      <c r="O109" s="18"/>
    </row>
    <row r="110" spans="1:15" ht="18.75" customHeight="1" x14ac:dyDescent="0.25">
      <c r="A110" s="17"/>
      <c r="B110" s="17"/>
      <c r="C110" s="17"/>
      <c r="D110" s="17"/>
      <c r="E110" s="17"/>
      <c r="F110" s="17"/>
      <c r="G110" s="17"/>
      <c r="H110" s="17"/>
      <c r="I110" s="17"/>
      <c r="J110" s="17"/>
      <c r="K110" s="17"/>
      <c r="L110" s="18"/>
      <c r="M110" s="18"/>
      <c r="N110" s="18"/>
      <c r="O110" s="18"/>
    </row>
    <row r="111" spans="1:15" ht="18.75" customHeight="1" x14ac:dyDescent="0.25">
      <c r="A111" s="17"/>
      <c r="B111" s="17"/>
      <c r="C111" s="17"/>
      <c r="D111" s="17"/>
      <c r="E111" s="17"/>
      <c r="F111" s="17"/>
      <c r="G111" s="17"/>
      <c r="H111" s="17"/>
      <c r="I111" s="17"/>
      <c r="J111" s="17"/>
      <c r="K111" s="17"/>
      <c r="L111" s="18"/>
      <c r="M111" s="18"/>
      <c r="N111" s="18"/>
      <c r="O111" s="18"/>
    </row>
    <row r="112" spans="1:15" ht="18.75" customHeight="1" x14ac:dyDescent="0.25">
      <c r="A112" s="17"/>
      <c r="B112" s="17"/>
      <c r="C112" s="17"/>
      <c r="D112" s="17"/>
      <c r="E112" s="17"/>
      <c r="F112" s="17"/>
      <c r="G112" s="17"/>
      <c r="H112" s="17"/>
      <c r="I112" s="17"/>
      <c r="J112" s="17"/>
      <c r="K112" s="17"/>
      <c r="L112" s="18"/>
      <c r="M112" s="18"/>
      <c r="N112" s="18"/>
      <c r="O112" s="18"/>
    </row>
    <row r="113" spans="1:15" ht="18.75" customHeight="1" x14ac:dyDescent="0.25">
      <c r="A113" s="17"/>
      <c r="B113" s="17"/>
      <c r="C113" s="17"/>
      <c r="D113" s="17"/>
      <c r="E113" s="17"/>
      <c r="F113" s="17"/>
      <c r="G113" s="17"/>
      <c r="H113" s="17"/>
      <c r="I113" s="17"/>
      <c r="J113" s="17"/>
      <c r="K113" s="17"/>
      <c r="L113" s="18"/>
      <c r="M113" s="18"/>
      <c r="N113" s="18"/>
      <c r="O113" s="18"/>
    </row>
    <row r="114" spans="1:15" ht="18.75" customHeight="1" x14ac:dyDescent="0.25">
      <c r="A114" s="17"/>
      <c r="B114" s="17"/>
      <c r="C114" s="17"/>
      <c r="D114" s="17"/>
      <c r="E114" s="17"/>
      <c r="F114" s="17"/>
      <c r="G114" s="17"/>
      <c r="H114" s="17"/>
      <c r="I114" s="17"/>
      <c r="J114" s="17"/>
      <c r="K114" s="17"/>
      <c r="L114" s="18"/>
      <c r="M114" s="18"/>
      <c r="N114" s="18"/>
      <c r="O114" s="18"/>
    </row>
  </sheetData>
  <sheetProtection sheet="1" objects="1" scenarios="1" selectLockedCells="1"/>
  <mergeCells count="93">
    <mergeCell ref="V5:W5"/>
    <mergeCell ref="X5:AA5"/>
    <mergeCell ref="A55:D55"/>
    <mergeCell ref="O55:R55"/>
    <mergeCell ref="A40:E40"/>
    <mergeCell ref="A54:AA54"/>
    <mergeCell ref="A11:E11"/>
    <mergeCell ref="M55:N55"/>
    <mergeCell ref="S55:AA55"/>
    <mergeCell ref="E55:J55"/>
    <mergeCell ref="F23:AA23"/>
    <mergeCell ref="F42:Z46"/>
    <mergeCell ref="F30:Z34"/>
    <mergeCell ref="F41:AA41"/>
    <mergeCell ref="O1:AA1"/>
    <mergeCell ref="A46:E46"/>
    <mergeCell ref="E50:E51"/>
    <mergeCell ref="A51:D51"/>
    <mergeCell ref="F6:Z10"/>
    <mergeCell ref="A18:E18"/>
    <mergeCell ref="A37:E37"/>
    <mergeCell ref="A4:C4"/>
    <mergeCell ref="F24:Z28"/>
    <mergeCell ref="G1:N1"/>
    <mergeCell ref="F18:Z22"/>
    <mergeCell ref="G2:H2"/>
    <mergeCell ref="A23:E23"/>
    <mergeCell ref="L2:N2"/>
    <mergeCell ref="O2:AA2"/>
    <mergeCell ref="A19:E19"/>
    <mergeCell ref="AD6:AG6"/>
    <mergeCell ref="F17:AA17"/>
    <mergeCell ref="W4:X4"/>
    <mergeCell ref="L3:O3"/>
    <mergeCell ref="D3:H3"/>
    <mergeCell ref="A5:E5"/>
    <mergeCell ref="A13:E13"/>
    <mergeCell ref="S3:AA3"/>
    <mergeCell ref="F11:AA11"/>
    <mergeCell ref="F12:Z16"/>
    <mergeCell ref="N4:V4"/>
    <mergeCell ref="A12:E12"/>
    <mergeCell ref="A7:E7"/>
    <mergeCell ref="A6:E6"/>
    <mergeCell ref="J3:K3"/>
    <mergeCell ref="P3:R3"/>
    <mergeCell ref="A107:E107"/>
    <mergeCell ref="F105:G105"/>
    <mergeCell ref="L56:N56"/>
    <mergeCell ref="A98:C98"/>
    <mergeCell ref="A99:C99"/>
    <mergeCell ref="A60:I60"/>
    <mergeCell ref="A108:E108"/>
    <mergeCell ref="A10:E10"/>
    <mergeCell ref="A16:E16"/>
    <mergeCell ref="A22:E22"/>
    <mergeCell ref="A28:E28"/>
    <mergeCell ref="A34:E34"/>
    <mergeCell ref="B56:I56"/>
    <mergeCell ref="A106:E106"/>
    <mergeCell ref="A102:C102"/>
    <mergeCell ref="A101:C101"/>
    <mergeCell ref="A103:C103"/>
    <mergeCell ref="A97:C97"/>
    <mergeCell ref="A104:C104"/>
    <mergeCell ref="A105:C105"/>
    <mergeCell ref="F104:G104"/>
    <mergeCell ref="A100:C100"/>
    <mergeCell ref="O56:P56"/>
    <mergeCell ref="A31:E31"/>
    <mergeCell ref="A29:E29"/>
    <mergeCell ref="A35:E35"/>
    <mergeCell ref="Y56:AA56"/>
    <mergeCell ref="A47:E47"/>
    <mergeCell ref="A50:D50"/>
    <mergeCell ref="F48:Z51"/>
    <mergeCell ref="F47:AA47"/>
    <mergeCell ref="K55:L55"/>
    <mergeCell ref="A41:E41"/>
    <mergeCell ref="F36:Z40"/>
    <mergeCell ref="A43:E43"/>
    <mergeCell ref="F29:AA29"/>
    <mergeCell ref="Q56:W56"/>
    <mergeCell ref="F35:AA35"/>
    <mergeCell ref="I2:K2"/>
    <mergeCell ref="A42:E42"/>
    <mergeCell ref="A30:E30"/>
    <mergeCell ref="A25:E25"/>
    <mergeCell ref="A17:E17"/>
    <mergeCell ref="A3:C3"/>
    <mergeCell ref="A24:E24"/>
    <mergeCell ref="A36:E36"/>
    <mergeCell ref="F5:U5"/>
  </mergeCells>
  <phoneticPr fontId="2" type="noConversion"/>
  <conditionalFormatting sqref="A36:E36 A12:E12 A30:E30 A18:E18 A24:E24 A42:E42">
    <cfRule type="expression" dxfId="7" priority="4" stopIfTrue="1">
      <formula>AND(NOT(A12),SUM(A15,B15,C15,D15,E15))</formula>
    </cfRule>
  </conditionalFormatting>
  <conditionalFormatting sqref="A6:E6">
    <cfRule type="expression" dxfId="6" priority="2">
      <formula>IF($A$6&gt;0,FALSE,TRUE)</formula>
    </cfRule>
    <cfRule type="expression" dxfId="5" priority="6">
      <formula>IF(A6=0,FALSE,IF(A6&lt;(TODAY()-180),TRUE,IF(A6&gt;(TODAY()+14),TRUE,FALSE)))</formula>
    </cfRule>
  </conditionalFormatting>
  <conditionalFormatting sqref="A51">
    <cfRule type="cellIs" dxfId="4" priority="7" stopIfTrue="1" operator="equal">
      <formula>0</formula>
    </cfRule>
  </conditionalFormatting>
  <conditionalFormatting sqref="O1:AA1">
    <cfRule type="expression" dxfId="3" priority="8" stopIfTrue="1">
      <formula>AND(I2&gt;0,A6&gt;0,M55&gt;0)</formula>
    </cfRule>
    <cfRule type="cellIs" dxfId="2" priority="9" stopIfTrue="1" operator="greaterThan">
      <formula>0</formula>
    </cfRule>
  </conditionalFormatting>
  <conditionalFormatting sqref="I2:K2">
    <cfRule type="expression" dxfId="1" priority="3" stopIfTrue="1">
      <formula>IF($I$2&gt;0,FALSE,TRUE)</formula>
    </cfRule>
  </conditionalFormatting>
  <conditionalFormatting sqref="M55:N55">
    <cfRule type="expression" dxfId="0" priority="1" stopIfTrue="1">
      <formula>IF($M$55&gt;0,FALSE,TRUE)</formula>
    </cfRule>
  </conditionalFormatting>
  <dataValidations count="2">
    <dataValidation type="decimal" allowBlank="1" showInputMessage="1" showErrorMessage="1" errorTitle="Value out of range" error="Please enter a number between 0 and 24" sqref="A9:E9 A15:E15 A39:E39 A21:E21 A27:E27 A33:E33 A45:E45" xr:uid="{00000000-0002-0000-0000-000000000000}">
      <formula1>0</formula1>
      <formula2>24</formula2>
    </dataValidation>
    <dataValidation type="list" allowBlank="1" sqref="O2:AA2" xr:uid="{00000000-0002-0000-0000-000001000000}">
      <formula1>tbl_Cell</formula1>
    </dataValidation>
  </dataValidations>
  <printOptions horizontalCentered="1"/>
  <pageMargins left="0.5" right="0.5" top="0.5" bottom="0.4" header="0.5" footer="0.3"/>
  <pageSetup scale="99" orientation="portrait" r:id="rId1"/>
  <headerFooter alignWithMargins="0">
    <oddFooter>&amp;R&amp;8FR00547  Rev: 5.1 Date: 07-15-19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1" r:id="rId4" name="Group Box 1017">
              <controlPr defaultSize="0" autoFill="0" autoPict="0">
                <anchor moveWithCells="1">
                  <from>
                    <xdr:col>22</xdr:col>
                    <xdr:colOff>0</xdr:colOff>
                    <xdr:row>3</xdr:row>
                    <xdr:rowOff>0</xdr:rowOff>
                  </from>
                  <to>
                    <xdr:col>27</xdr:col>
                    <xdr:colOff>0</xdr:colOff>
                    <xdr:row>4</xdr:row>
                    <xdr:rowOff>0</xdr:rowOff>
                  </to>
                </anchor>
              </controlPr>
            </control>
          </mc:Choice>
        </mc:AlternateContent>
        <mc:AlternateContent xmlns:mc="http://schemas.openxmlformats.org/markup-compatibility/2006">
          <mc:Choice Requires="x14">
            <control shapeId="2042" r:id="rId5" name="Option Button 1018">
              <controlPr defaultSize="0" autoFill="0" autoLine="0" autoPict="0">
                <anchor moveWithCells="1">
                  <from>
                    <xdr:col>23</xdr:col>
                    <xdr:colOff>76200</xdr:colOff>
                    <xdr:row>3</xdr:row>
                    <xdr:rowOff>0</xdr:rowOff>
                  </from>
                  <to>
                    <xdr:col>25</xdr:col>
                    <xdr:colOff>45720</xdr:colOff>
                    <xdr:row>4</xdr:row>
                    <xdr:rowOff>0</xdr:rowOff>
                  </to>
                </anchor>
              </controlPr>
            </control>
          </mc:Choice>
        </mc:AlternateContent>
        <mc:AlternateContent xmlns:mc="http://schemas.openxmlformats.org/markup-compatibility/2006">
          <mc:Choice Requires="x14">
            <control shapeId="2043" r:id="rId6" name="Option Button 1019">
              <controlPr defaultSize="0" autoFill="0" autoLine="0" autoPict="0">
                <anchor moveWithCells="1">
                  <from>
                    <xdr:col>25</xdr:col>
                    <xdr:colOff>76200</xdr:colOff>
                    <xdr:row>3</xdr:row>
                    <xdr:rowOff>0</xdr:rowOff>
                  </from>
                  <to>
                    <xdr:col>26</xdr:col>
                    <xdr:colOff>190500</xdr:colOff>
                    <xdr:row>4</xdr:row>
                    <xdr:rowOff>0</xdr:rowOff>
                  </to>
                </anchor>
              </controlPr>
            </control>
          </mc:Choice>
        </mc:AlternateContent>
        <mc:AlternateContent xmlns:mc="http://schemas.openxmlformats.org/markup-compatibility/2006">
          <mc:Choice Requires="x14">
            <control shapeId="4392" r:id="rId7" name="Group Box 1320">
              <controlPr defaultSize="0" autoFill="0" autoPict="0">
                <anchor moveWithCells="1">
                  <from>
                    <xdr:col>3</xdr:col>
                    <xdr:colOff>0</xdr:colOff>
                    <xdr:row>3</xdr:row>
                    <xdr:rowOff>0</xdr:rowOff>
                  </from>
                  <to>
                    <xdr:col>13</xdr:col>
                    <xdr:colOff>0</xdr:colOff>
                    <xdr:row>3</xdr:row>
                    <xdr:rowOff>213360</xdr:rowOff>
                  </to>
                </anchor>
              </controlPr>
            </control>
          </mc:Choice>
        </mc:AlternateContent>
        <mc:AlternateContent xmlns:mc="http://schemas.openxmlformats.org/markup-compatibility/2006">
          <mc:Choice Requires="x14">
            <control shapeId="4393" r:id="rId8" name="Option Button 1321">
              <controlPr defaultSize="0" autoFill="0" autoLine="0" autoPict="0" macro="[0]!Updatefilename">
                <anchor moveWithCells="1">
                  <from>
                    <xdr:col>3</xdr:col>
                    <xdr:colOff>22860</xdr:colOff>
                    <xdr:row>3</xdr:row>
                    <xdr:rowOff>0</xdr:rowOff>
                  </from>
                  <to>
                    <xdr:col>6</xdr:col>
                    <xdr:colOff>30480</xdr:colOff>
                    <xdr:row>3</xdr:row>
                    <xdr:rowOff>213360</xdr:rowOff>
                  </to>
                </anchor>
              </controlPr>
            </control>
          </mc:Choice>
        </mc:AlternateContent>
        <mc:AlternateContent xmlns:mc="http://schemas.openxmlformats.org/markup-compatibility/2006">
          <mc:Choice Requires="x14">
            <control shapeId="4394" r:id="rId9" name="Option Button 1322">
              <controlPr defaultSize="0" autoFill="0" autoLine="0" autoPict="0" macro="[0]!Updatefilename">
                <anchor moveWithCells="1">
                  <from>
                    <xdr:col>6</xdr:col>
                    <xdr:colOff>45720</xdr:colOff>
                    <xdr:row>3</xdr:row>
                    <xdr:rowOff>0</xdr:rowOff>
                  </from>
                  <to>
                    <xdr:col>10</xdr:col>
                    <xdr:colOff>190500</xdr:colOff>
                    <xdr:row>3</xdr:row>
                    <xdr:rowOff>213360</xdr:rowOff>
                  </to>
                </anchor>
              </controlPr>
            </control>
          </mc:Choice>
        </mc:AlternateContent>
        <mc:AlternateContent xmlns:mc="http://schemas.openxmlformats.org/markup-compatibility/2006">
          <mc:Choice Requires="x14">
            <control shapeId="4396" r:id="rId10" name="Option Button 1324">
              <controlPr defaultSize="0" autoFill="0" autoLine="0" autoPict="0" macro="[0]!Updatefilename">
                <anchor moveWithCells="1">
                  <from>
                    <xdr:col>10</xdr:col>
                    <xdr:colOff>213360</xdr:colOff>
                    <xdr:row>3</xdr:row>
                    <xdr:rowOff>0</xdr:rowOff>
                  </from>
                  <to>
                    <xdr:col>12</xdr:col>
                    <xdr:colOff>190500</xdr:colOff>
                    <xdr:row>3</xdr:row>
                    <xdr:rowOff>213360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29"/>
  <sheetViews>
    <sheetView zoomScale="99" zoomScaleNormal="99" workbookViewId="0">
      <selection activeCell="E11" sqref="E11"/>
    </sheetView>
  </sheetViews>
  <sheetFormatPr defaultRowHeight="13.2" x14ac:dyDescent="0.25"/>
  <cols>
    <col min="1" max="1" width="8.6640625" customWidth="1"/>
    <col min="2" max="2" width="16" bestFit="1" customWidth="1"/>
    <col min="3" max="3" width="17.6640625" bestFit="1" customWidth="1"/>
    <col min="4" max="4" width="15.44140625" bestFit="1" customWidth="1"/>
    <col min="5" max="5" width="53.33203125" bestFit="1" customWidth="1"/>
    <col min="6" max="6" width="60.6640625" bestFit="1" customWidth="1"/>
    <col min="7" max="7" width="61" bestFit="1" customWidth="1"/>
    <col min="8" max="8" width="59" bestFit="1" customWidth="1"/>
    <col min="9" max="9" width="58.6640625" bestFit="1" customWidth="1"/>
    <col min="10" max="10" width="56.5546875" bestFit="1" customWidth="1"/>
    <col min="11" max="11" width="53.44140625" bestFit="1" customWidth="1"/>
    <col min="12" max="12" width="42.109375" bestFit="1" customWidth="1"/>
  </cols>
  <sheetData>
    <row r="1" spans="1:12" x14ac:dyDescent="0.25">
      <c r="A1" s="22" t="s">
        <v>24</v>
      </c>
      <c r="B1" s="24" t="s">
        <v>25</v>
      </c>
      <c r="C1" s="23" t="s">
        <v>26</v>
      </c>
      <c r="D1" s="23" t="s">
        <v>27</v>
      </c>
      <c r="E1" s="24" t="s">
        <v>28</v>
      </c>
      <c r="F1" s="24" t="s">
        <v>29</v>
      </c>
      <c r="G1" s="24" t="s">
        <v>30</v>
      </c>
      <c r="H1" s="24" t="s">
        <v>31</v>
      </c>
      <c r="I1" s="24" t="s">
        <v>32</v>
      </c>
      <c r="J1" s="24" t="s">
        <v>33</v>
      </c>
      <c r="K1" s="24" t="s">
        <v>34</v>
      </c>
      <c r="L1" s="25" t="s">
        <v>35</v>
      </c>
    </row>
    <row r="2" spans="1:12" x14ac:dyDescent="0.25">
      <c r="A2" s="27">
        <v>1234</v>
      </c>
      <c r="B2" s="28"/>
      <c r="C2" s="28"/>
      <c r="D2" s="28"/>
      <c r="E2" s="28"/>
      <c r="F2" s="28"/>
      <c r="G2" s="28"/>
      <c r="H2" s="28"/>
      <c r="I2" s="28"/>
      <c r="J2" s="28"/>
      <c r="K2" s="28"/>
      <c r="L2" s="28"/>
    </row>
    <row r="3" spans="1:12" x14ac:dyDescent="0.25">
      <c r="A3" s="27">
        <v>5678</v>
      </c>
      <c r="B3" s="28"/>
      <c r="C3" s="28"/>
      <c r="D3" s="28"/>
      <c r="E3" s="28"/>
      <c r="F3" s="28"/>
      <c r="G3" s="28"/>
      <c r="H3" s="28"/>
      <c r="I3" s="28"/>
      <c r="J3" s="28"/>
      <c r="K3" s="28"/>
      <c r="L3" s="28"/>
    </row>
    <row r="4" spans="1:12" x14ac:dyDescent="0.25">
      <c r="A4" s="27"/>
      <c r="B4" s="28"/>
      <c r="C4" s="28"/>
      <c r="D4" s="28"/>
      <c r="E4" s="28"/>
      <c r="F4" s="28"/>
      <c r="G4" s="28"/>
      <c r="H4" s="28"/>
      <c r="I4" s="28"/>
      <c r="J4" s="28"/>
      <c r="K4" s="28"/>
      <c r="L4" s="28"/>
    </row>
    <row r="5" spans="1:12" x14ac:dyDescent="0.25">
      <c r="A5" s="27"/>
      <c r="B5" s="28"/>
      <c r="C5" s="28"/>
      <c r="D5" s="28"/>
      <c r="E5" s="28"/>
      <c r="F5" s="28"/>
      <c r="G5" s="28"/>
      <c r="H5" s="28"/>
      <c r="I5" s="28"/>
      <c r="J5" s="28"/>
      <c r="K5" s="28"/>
      <c r="L5" s="28"/>
    </row>
    <row r="6" spans="1:12" x14ac:dyDescent="0.25">
      <c r="A6" s="27"/>
      <c r="B6" s="28"/>
      <c r="C6" s="28"/>
      <c r="D6" s="28"/>
      <c r="E6" s="28"/>
      <c r="F6" s="28"/>
      <c r="G6" s="28"/>
      <c r="H6" s="28"/>
      <c r="I6" s="28"/>
      <c r="J6" s="28"/>
      <c r="K6" s="28"/>
      <c r="L6" s="28"/>
    </row>
    <row r="7" spans="1:12" x14ac:dyDescent="0.25">
      <c r="A7" s="27"/>
      <c r="B7" s="28"/>
      <c r="C7" s="28"/>
      <c r="D7" s="28"/>
      <c r="E7" s="28"/>
      <c r="F7" s="28"/>
      <c r="G7" s="28"/>
      <c r="H7" s="28"/>
      <c r="I7" s="28"/>
      <c r="J7" s="28"/>
      <c r="K7" s="28"/>
      <c r="L7" s="28"/>
    </row>
    <row r="8" spans="1:12" x14ac:dyDescent="0.25">
      <c r="A8" s="27"/>
      <c r="B8" s="28"/>
      <c r="C8" s="28"/>
      <c r="D8" s="28"/>
      <c r="E8" s="28"/>
      <c r="F8" s="28"/>
      <c r="G8" s="28"/>
      <c r="H8" s="28"/>
      <c r="I8" s="28"/>
      <c r="J8" s="28"/>
      <c r="K8" s="28"/>
      <c r="L8" s="28"/>
    </row>
    <row r="9" spans="1:12" x14ac:dyDescent="0.25">
      <c r="A9" s="27"/>
      <c r="B9" s="28"/>
      <c r="C9" s="28"/>
      <c r="D9" s="28"/>
      <c r="E9" s="28"/>
      <c r="F9" s="28"/>
      <c r="G9" s="28"/>
      <c r="H9" s="28"/>
      <c r="I9" s="28"/>
      <c r="J9" s="28"/>
      <c r="K9" s="28"/>
      <c r="L9" s="28"/>
    </row>
    <row r="10" spans="1:12" x14ac:dyDescent="0.25">
      <c r="A10" s="27"/>
      <c r="B10" s="28"/>
      <c r="C10" s="28"/>
      <c r="D10" s="28"/>
      <c r="E10" s="28"/>
      <c r="F10" s="28"/>
      <c r="G10" s="28"/>
      <c r="H10" s="28"/>
      <c r="I10" s="28"/>
      <c r="J10" s="28"/>
      <c r="K10" s="28"/>
      <c r="L10" s="28"/>
    </row>
    <row r="11" spans="1:12" x14ac:dyDescent="0.25">
      <c r="A11" s="27"/>
      <c r="B11" s="28"/>
      <c r="C11" s="28"/>
      <c r="D11" s="28"/>
      <c r="E11" s="28"/>
      <c r="F11" s="28"/>
      <c r="G11" s="28"/>
      <c r="H11" s="28"/>
      <c r="I11" s="28"/>
      <c r="J11" s="28"/>
      <c r="K11" s="28"/>
      <c r="L11" s="28"/>
    </row>
    <row r="12" spans="1:12" x14ac:dyDescent="0.25">
      <c r="A12" s="27"/>
      <c r="B12" s="28"/>
      <c r="C12" s="28"/>
      <c r="D12" s="28"/>
      <c r="E12" s="28"/>
      <c r="F12" s="28"/>
      <c r="G12" s="28"/>
      <c r="H12" s="28"/>
      <c r="I12" s="28"/>
      <c r="J12" s="28"/>
      <c r="K12" s="28"/>
      <c r="L12" s="28"/>
    </row>
    <row r="13" spans="1:12" x14ac:dyDescent="0.25">
      <c r="A13" s="27"/>
      <c r="B13" s="28"/>
      <c r="C13" s="28"/>
      <c r="D13" s="28"/>
      <c r="E13" s="28"/>
      <c r="F13" s="28"/>
      <c r="G13" s="28"/>
      <c r="H13" s="28"/>
      <c r="I13" s="28"/>
      <c r="J13" s="28"/>
      <c r="K13" s="28"/>
      <c r="L13" s="28"/>
    </row>
    <row r="14" spans="1:12" x14ac:dyDescent="0.25">
      <c r="A14" s="27"/>
      <c r="B14" s="28"/>
      <c r="C14" s="28"/>
      <c r="D14" s="28"/>
      <c r="E14" s="28"/>
      <c r="F14" s="28"/>
      <c r="G14" s="28"/>
      <c r="H14" s="28"/>
      <c r="I14" s="28"/>
      <c r="J14" s="28"/>
      <c r="K14" s="28"/>
      <c r="L14" s="28"/>
    </row>
    <row r="15" spans="1:12" x14ac:dyDescent="0.25">
      <c r="A15" s="27"/>
      <c r="B15" s="28"/>
      <c r="C15" s="28"/>
      <c r="D15" s="28"/>
      <c r="E15" s="28"/>
      <c r="F15" s="28"/>
      <c r="G15" s="28"/>
      <c r="H15" s="28"/>
      <c r="I15" s="28"/>
      <c r="J15" s="28"/>
      <c r="K15" s="28"/>
      <c r="L15" s="28"/>
    </row>
    <row r="16" spans="1:12" x14ac:dyDescent="0.25">
      <c r="A16" s="27"/>
      <c r="B16" s="28"/>
      <c r="C16" s="28"/>
      <c r="D16" s="28"/>
      <c r="E16" s="28"/>
      <c r="F16" s="28"/>
      <c r="G16" s="28"/>
      <c r="H16" s="28"/>
      <c r="I16" s="28"/>
      <c r="J16" s="28"/>
      <c r="K16" s="28"/>
      <c r="L16" s="28"/>
    </row>
    <row r="17" spans="1:12" x14ac:dyDescent="0.25">
      <c r="A17" s="27"/>
      <c r="B17" s="28"/>
      <c r="C17" s="28"/>
      <c r="D17" s="28"/>
      <c r="E17" s="28"/>
      <c r="F17" s="28"/>
      <c r="G17" s="28"/>
      <c r="H17" s="28"/>
      <c r="I17" s="28"/>
      <c r="J17" s="28"/>
      <c r="K17" s="28"/>
      <c r="L17" s="28"/>
    </row>
    <row r="18" spans="1:12" x14ac:dyDescent="0.25">
      <c r="A18" s="27"/>
      <c r="B18" s="28"/>
      <c r="C18" s="28"/>
      <c r="D18" s="28"/>
      <c r="E18" s="28"/>
      <c r="F18" s="28"/>
      <c r="G18" s="28"/>
      <c r="H18" s="28"/>
      <c r="I18" s="28"/>
      <c r="J18" s="28"/>
      <c r="K18" s="28"/>
      <c r="L18" s="28"/>
    </row>
    <row r="19" spans="1:12" x14ac:dyDescent="0.25">
      <c r="A19" s="27"/>
      <c r="B19" s="28"/>
      <c r="C19" s="28"/>
      <c r="D19" s="28"/>
      <c r="E19" s="28"/>
      <c r="F19" s="28"/>
      <c r="G19" s="28"/>
      <c r="H19" s="28"/>
      <c r="I19" s="28"/>
      <c r="J19" s="28"/>
      <c r="K19" s="28"/>
      <c r="L19" s="28"/>
    </row>
    <row r="20" spans="1:12" x14ac:dyDescent="0.25">
      <c r="A20" s="27"/>
      <c r="B20" s="28"/>
      <c r="C20" s="28"/>
      <c r="D20" s="28"/>
      <c r="E20" s="28"/>
      <c r="F20" s="28"/>
      <c r="G20" s="28"/>
      <c r="H20" s="28"/>
      <c r="I20" s="28"/>
      <c r="J20" s="28"/>
      <c r="K20" s="28"/>
      <c r="L20" s="28"/>
    </row>
    <row r="21" spans="1:12" x14ac:dyDescent="0.25">
      <c r="A21" s="27"/>
      <c r="B21" s="28"/>
      <c r="C21" s="28"/>
      <c r="D21" s="28"/>
      <c r="E21" s="28"/>
      <c r="F21" s="28"/>
      <c r="G21" s="28"/>
      <c r="H21" s="28"/>
      <c r="I21" s="28"/>
      <c r="J21" s="28"/>
      <c r="K21" s="28"/>
      <c r="L21" s="28"/>
    </row>
    <row r="22" spans="1:12" x14ac:dyDescent="0.25">
      <c r="A22" s="27"/>
      <c r="B22" s="28"/>
      <c r="C22" s="28"/>
      <c r="D22" s="28"/>
      <c r="E22" s="28"/>
      <c r="F22" s="28"/>
      <c r="G22" s="28"/>
      <c r="H22" s="28"/>
      <c r="I22" s="28"/>
      <c r="J22" s="28"/>
      <c r="K22" s="28"/>
      <c r="L22" s="28"/>
    </row>
    <row r="23" spans="1:12" x14ac:dyDescent="0.25">
      <c r="A23" s="27"/>
      <c r="B23" s="28"/>
      <c r="C23" s="28"/>
      <c r="D23" s="28"/>
      <c r="E23" s="28"/>
      <c r="F23" s="28"/>
      <c r="G23" s="28"/>
      <c r="H23" s="28"/>
      <c r="I23" s="28"/>
      <c r="J23" s="28"/>
      <c r="K23" s="28"/>
      <c r="L23" s="28"/>
    </row>
    <row r="24" spans="1:12" x14ac:dyDescent="0.25">
      <c r="A24" s="27"/>
      <c r="B24" s="28"/>
      <c r="C24" s="28"/>
      <c r="D24" s="28"/>
      <c r="E24" s="28"/>
      <c r="F24" s="28"/>
      <c r="G24" s="28"/>
      <c r="H24" s="28"/>
      <c r="I24" s="28"/>
      <c r="J24" s="28"/>
      <c r="K24" s="28"/>
      <c r="L24" s="28"/>
    </row>
    <row r="25" spans="1:12" x14ac:dyDescent="0.25">
      <c r="A25" s="27"/>
      <c r="B25" s="28"/>
      <c r="C25" s="28"/>
      <c r="D25" s="28"/>
      <c r="E25" s="28"/>
      <c r="F25" s="28"/>
      <c r="G25" s="28"/>
      <c r="H25" s="28"/>
      <c r="I25" s="28"/>
      <c r="J25" s="28"/>
      <c r="K25" s="28"/>
      <c r="L25" s="28"/>
    </row>
    <row r="26" spans="1:12" x14ac:dyDescent="0.25">
      <c r="A26" s="27"/>
      <c r="B26" s="28"/>
      <c r="C26" s="28"/>
      <c r="D26" s="28"/>
      <c r="E26" s="28"/>
      <c r="F26" s="28"/>
      <c r="G26" s="28"/>
      <c r="H26" s="28"/>
      <c r="I26" s="28"/>
      <c r="J26" s="28"/>
      <c r="K26" s="28"/>
      <c r="L26" s="28"/>
    </row>
    <row r="27" spans="1:12" x14ac:dyDescent="0.25">
      <c r="A27" s="27"/>
      <c r="B27" s="28"/>
      <c r="C27" s="28"/>
      <c r="D27" s="28"/>
      <c r="E27" s="28"/>
      <c r="F27" s="28"/>
      <c r="G27" s="28"/>
      <c r="H27" s="28"/>
      <c r="I27" s="28"/>
      <c r="J27" s="28"/>
      <c r="K27" s="28"/>
      <c r="L27" s="28"/>
    </row>
    <row r="28" spans="1:12" x14ac:dyDescent="0.25">
      <c r="A28" s="27"/>
      <c r="B28" s="28"/>
      <c r="C28" s="28"/>
      <c r="D28" s="28"/>
      <c r="E28" s="28"/>
      <c r="F28" s="28"/>
      <c r="G28" s="28"/>
      <c r="H28" s="28"/>
      <c r="I28" s="28"/>
      <c r="J28" s="28"/>
      <c r="K28" s="28"/>
      <c r="L28" s="28"/>
    </row>
    <row r="29" spans="1:12" x14ac:dyDescent="0.25">
      <c r="A29" s="27"/>
      <c r="B29" s="28"/>
      <c r="C29" s="28"/>
      <c r="D29" s="28"/>
      <c r="E29" s="28"/>
      <c r="F29" s="28"/>
      <c r="G29" s="28"/>
      <c r="H29" s="28"/>
      <c r="I29" s="28"/>
      <c r="J29" s="28"/>
      <c r="K29" s="28"/>
      <c r="L29"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A1:D9"/>
  <sheetViews>
    <sheetView workbookViewId="0">
      <selection activeCell="A3" sqref="A3"/>
    </sheetView>
  </sheetViews>
  <sheetFormatPr defaultRowHeight="13.2" x14ac:dyDescent="0.25"/>
  <cols>
    <col min="1" max="1" width="67.33203125" customWidth="1"/>
  </cols>
  <sheetData>
    <row r="1" spans="1:4" x14ac:dyDescent="0.25">
      <c r="A1" s="26">
        <f>'Field Installation'!I2</f>
        <v>3011187</v>
      </c>
    </row>
    <row r="2" spans="1:4" x14ac:dyDescent="0.25">
      <c r="A2" s="21" t="str">
        <f t="shared" ref="A2:A9" si="0">IF(ISERROR(VLOOKUP(A$1,tbl_P,D2,FALSE)),"",IF(VLOOKUP(A$1,tbl_P,D2,FALSE)=0,"",VLOOKUP(A$1,tbl_P,D2,FALSE)))</f>
        <v/>
      </c>
      <c r="D2">
        <v>5</v>
      </c>
    </row>
    <row r="3" spans="1:4" x14ac:dyDescent="0.25">
      <c r="A3" s="21" t="str">
        <f t="shared" si="0"/>
        <v/>
      </c>
      <c r="D3">
        <v>6</v>
      </c>
    </row>
    <row r="4" spans="1:4" x14ac:dyDescent="0.25">
      <c r="A4" s="21" t="str">
        <f t="shared" si="0"/>
        <v/>
      </c>
      <c r="D4">
        <v>7</v>
      </c>
    </row>
    <row r="5" spans="1:4" x14ac:dyDescent="0.25">
      <c r="A5" s="21" t="str">
        <f t="shared" si="0"/>
        <v/>
      </c>
      <c r="D5">
        <v>8</v>
      </c>
    </row>
    <row r="6" spans="1:4" x14ac:dyDescent="0.25">
      <c r="A6" s="21" t="str">
        <f t="shared" si="0"/>
        <v/>
      </c>
      <c r="D6">
        <v>9</v>
      </c>
    </row>
    <row r="7" spans="1:4" x14ac:dyDescent="0.25">
      <c r="A7" s="21" t="str">
        <f t="shared" si="0"/>
        <v/>
      </c>
      <c r="D7">
        <v>10</v>
      </c>
    </row>
    <row r="8" spans="1:4" x14ac:dyDescent="0.25">
      <c r="A8" s="21" t="str">
        <f t="shared" si="0"/>
        <v/>
      </c>
      <c r="D8">
        <v>11</v>
      </c>
    </row>
    <row r="9" spans="1:4" x14ac:dyDescent="0.25">
      <c r="A9" s="21" t="str">
        <f t="shared" si="0"/>
        <v/>
      </c>
      <c r="D9">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W4"/>
  <sheetViews>
    <sheetView topLeftCell="Z1" workbookViewId="0">
      <selection activeCell="AV11" sqref="AV11"/>
    </sheetView>
  </sheetViews>
  <sheetFormatPr defaultColWidth="8.88671875" defaultRowHeight="13.2" x14ac:dyDescent="0.25"/>
  <cols>
    <col min="1" max="1" width="33.6640625" style="36" customWidth="1"/>
    <col min="2" max="2" width="22.109375" style="37" customWidth="1"/>
    <col min="3" max="3" width="58.109375" style="36" bestFit="1" customWidth="1"/>
    <col min="4" max="45" width="9.44140625" style="36" customWidth="1"/>
    <col min="46" max="47" width="8.88671875" style="36"/>
    <col min="48" max="48" width="11" style="36" bestFit="1" customWidth="1"/>
    <col min="49" max="49" width="12.109375" style="36" bestFit="1" customWidth="1"/>
    <col min="50" max="16384" width="8.88671875" style="36"/>
  </cols>
  <sheetData>
    <row r="1" spans="1:49" x14ac:dyDescent="0.25">
      <c r="A1" s="40" t="s">
        <v>46</v>
      </c>
      <c r="B1" s="40" t="s">
        <v>47</v>
      </c>
      <c r="C1" s="40" t="s">
        <v>48</v>
      </c>
      <c r="D1" s="40" t="s">
        <v>49</v>
      </c>
      <c r="E1" s="40" t="s">
        <v>50</v>
      </c>
      <c r="F1" s="40" t="s">
        <v>51</v>
      </c>
      <c r="G1" s="40" t="s">
        <v>52</v>
      </c>
      <c r="H1" s="40" t="s">
        <v>53</v>
      </c>
      <c r="I1" s="40" t="s">
        <v>54</v>
      </c>
      <c r="J1" s="40" t="s">
        <v>55</v>
      </c>
      <c r="K1" s="40" t="s">
        <v>56</v>
      </c>
      <c r="L1" s="40" t="s">
        <v>57</v>
      </c>
      <c r="M1" s="40" t="s">
        <v>58</v>
      </c>
      <c r="N1" s="40" t="s">
        <v>59</v>
      </c>
      <c r="O1" s="40" t="s">
        <v>60</v>
      </c>
      <c r="P1" s="40" t="s">
        <v>61</v>
      </c>
      <c r="Q1" s="40" t="s">
        <v>62</v>
      </c>
      <c r="R1" s="40" t="s">
        <v>63</v>
      </c>
      <c r="S1" s="40" t="s">
        <v>64</v>
      </c>
      <c r="T1" s="40" t="s">
        <v>65</v>
      </c>
      <c r="U1" s="40" t="s">
        <v>66</v>
      </c>
      <c r="V1" s="40" t="s">
        <v>67</v>
      </c>
      <c r="W1" s="40" t="s">
        <v>68</v>
      </c>
      <c r="X1" s="40" t="s">
        <v>69</v>
      </c>
      <c r="Y1" s="40" t="s">
        <v>70</v>
      </c>
      <c r="Z1" s="40" t="s">
        <v>71</v>
      </c>
      <c r="AA1" s="40" t="s">
        <v>72</v>
      </c>
      <c r="AB1" s="40" t="s">
        <v>73</v>
      </c>
      <c r="AC1" s="40" t="s">
        <v>74</v>
      </c>
      <c r="AD1" s="40" t="s">
        <v>75</v>
      </c>
      <c r="AE1" s="40" t="s">
        <v>76</v>
      </c>
      <c r="AF1" s="40" t="s">
        <v>77</v>
      </c>
      <c r="AG1" s="40" t="s">
        <v>78</v>
      </c>
      <c r="AH1" s="40" t="s">
        <v>79</v>
      </c>
      <c r="AI1" s="40" t="s">
        <v>80</v>
      </c>
      <c r="AJ1" s="40" t="s">
        <v>81</v>
      </c>
      <c r="AK1" s="40" t="s">
        <v>82</v>
      </c>
      <c r="AL1" s="40" t="s">
        <v>83</v>
      </c>
      <c r="AM1" s="40" t="s">
        <v>84</v>
      </c>
      <c r="AN1" s="40" t="s">
        <v>85</v>
      </c>
      <c r="AO1" s="40" t="s">
        <v>86</v>
      </c>
      <c r="AP1" s="40" t="s">
        <v>87</v>
      </c>
      <c r="AQ1" s="40" t="s">
        <v>88</v>
      </c>
      <c r="AR1" s="40" t="s">
        <v>89</v>
      </c>
      <c r="AS1" s="40" t="s">
        <v>90</v>
      </c>
      <c r="AT1" s="41" t="s">
        <v>91</v>
      </c>
      <c r="AU1" s="41" t="s">
        <v>92</v>
      </c>
      <c r="AV1" s="45" t="s">
        <v>93</v>
      </c>
      <c r="AW1" s="45" t="s">
        <v>94</v>
      </c>
    </row>
    <row r="2" spans="1:49" x14ac:dyDescent="0.25">
      <c r="A2" s="42">
        <f>'Field Installation'!A6:E6</f>
        <v>46079</v>
      </c>
      <c r="B2" s="38" t="str">
        <f>IF(B3&lt;&gt;0,B3,IF(B4&lt;&gt;0,B4,"--blank--"))</f>
        <v>Arnab</v>
      </c>
      <c r="C2" s="38" t="str">
        <f>'Field Installation'!O1</f>
        <v xml:space="preserve">fill in PROJECT &amp; DATE &amp; EMP# to get FIR number                      </v>
      </c>
      <c r="D2" s="38">
        <f>'Field Installation'!$A9</f>
        <v>0</v>
      </c>
      <c r="E2" s="38">
        <f>'Field Installation'!$B9</f>
        <v>0</v>
      </c>
      <c r="F2" s="38">
        <f>'Field Installation'!$C9</f>
        <v>0</v>
      </c>
      <c r="G2" s="38">
        <f>'Field Installation'!$D9</f>
        <v>0</v>
      </c>
      <c r="H2" s="38">
        <f>'Field Installation'!$E9</f>
        <v>0</v>
      </c>
      <c r="I2" s="38">
        <f>'Field Installation'!$AA9</f>
        <v>0</v>
      </c>
      <c r="J2" s="38">
        <f>'Field Installation'!$A15</f>
        <v>0</v>
      </c>
      <c r="K2" s="38">
        <f>'Field Installation'!$B15</f>
        <v>0</v>
      </c>
      <c r="L2" s="38">
        <f>'Field Installation'!$C15</f>
        <v>0</v>
      </c>
      <c r="M2" s="38">
        <f>'Field Installation'!$D15</f>
        <v>0</v>
      </c>
      <c r="N2" s="38">
        <f>'Field Installation'!$E15</f>
        <v>0</v>
      </c>
      <c r="O2" s="38">
        <f>'Field Installation'!$AA15</f>
        <v>0</v>
      </c>
      <c r="P2" s="38">
        <f>'Field Installation'!$A21</f>
        <v>8</v>
      </c>
      <c r="Q2" s="38">
        <f>'Field Installation'!$B21</f>
        <v>3</v>
      </c>
      <c r="R2" s="38">
        <f>'Field Installation'!$C21</f>
        <v>0</v>
      </c>
      <c r="S2" s="38">
        <f>'Field Installation'!$D21</f>
        <v>0</v>
      </c>
      <c r="T2" s="38">
        <f>'Field Installation'!$E21</f>
        <v>0</v>
      </c>
      <c r="U2" s="38">
        <f>'Field Installation'!$AA21</f>
        <v>0</v>
      </c>
      <c r="V2" s="38">
        <f>'Field Installation'!$A27</f>
        <v>8</v>
      </c>
      <c r="W2" s="38">
        <f>'Field Installation'!$B27</f>
        <v>6</v>
      </c>
      <c r="X2" s="38">
        <f>'Field Installation'!$C27</f>
        <v>0</v>
      </c>
      <c r="Y2" s="38">
        <f>'Field Installation'!$D27</f>
        <v>0</v>
      </c>
      <c r="Z2" s="38">
        <f>'Field Installation'!$E27</f>
        <v>0</v>
      </c>
      <c r="AA2" s="38">
        <f>'Field Installation'!$AA27</f>
        <v>0</v>
      </c>
      <c r="AB2" s="38">
        <f>'Field Installation'!$A33</f>
        <v>8</v>
      </c>
      <c r="AC2" s="38">
        <f>'Field Installation'!$B33</f>
        <v>4</v>
      </c>
      <c r="AD2" s="38">
        <f>'Field Installation'!$C33</f>
        <v>0</v>
      </c>
      <c r="AE2" s="38">
        <f>'Field Installation'!$D33</f>
        <v>0</v>
      </c>
      <c r="AF2" s="38">
        <f>'Field Installation'!$E33</f>
        <v>0</v>
      </c>
      <c r="AG2" s="38">
        <f>'Field Installation'!$AA33</f>
        <v>0</v>
      </c>
      <c r="AH2" s="38">
        <f>'Field Installation'!$A39</f>
        <v>8</v>
      </c>
      <c r="AI2" s="38">
        <f>'Field Installation'!$B39</f>
        <v>3</v>
      </c>
      <c r="AJ2" s="38">
        <f>'Field Installation'!$C39</f>
        <v>0</v>
      </c>
      <c r="AK2" s="38">
        <f>'Field Installation'!$D39</f>
        <v>0</v>
      </c>
      <c r="AL2" s="38">
        <f>'Field Installation'!$E39</f>
        <v>0</v>
      </c>
      <c r="AM2" s="38">
        <f>'Field Installation'!$AA39</f>
        <v>0</v>
      </c>
      <c r="AN2" s="38">
        <f>'Field Installation'!$A45</f>
        <v>0</v>
      </c>
      <c r="AO2" s="38">
        <f>'Field Installation'!$B45</f>
        <v>0</v>
      </c>
      <c r="AP2" s="38">
        <f>'Field Installation'!$C45</f>
        <v>0</v>
      </c>
      <c r="AQ2" s="38">
        <f>'Field Installation'!$D45</f>
        <v>4.5</v>
      </c>
      <c r="AR2" s="38">
        <f>'Field Installation'!$E45</f>
        <v>0</v>
      </c>
      <c r="AS2" s="38">
        <f>'Field Installation'!$AA45</f>
        <v>0</v>
      </c>
      <c r="AT2" s="44">
        <f>'Field Installation'!I2</f>
        <v>3011187</v>
      </c>
      <c r="AU2" s="44">
        <f>'Field Installation'!X5</f>
        <v>1287</v>
      </c>
      <c r="AV2" s="38">
        <v>3</v>
      </c>
      <c r="AW2" s="38">
        <v>2</v>
      </c>
    </row>
    <row r="3" spans="1:49" x14ac:dyDescent="0.25">
      <c r="B3" s="36" t="str">
        <f>'Field Installation'!E55</f>
        <v>Arnab</v>
      </c>
      <c r="C3" s="43">
        <f>'Field Installation'!X5</f>
        <v>1287</v>
      </c>
      <c r="AV3" s="36" t="str">
        <f>CHOOSE(AV2,"(I)","(P)","(O)")</f>
        <v>(O)</v>
      </c>
    </row>
    <row r="4" spans="1:49" x14ac:dyDescent="0.25">
      <c r="B4" s="36">
        <f>'Field Installation'!B56:I56</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Field Installation</vt:lpstr>
      <vt:lpstr>Project_Ref</vt:lpstr>
      <vt:lpstr>Data</vt:lpstr>
      <vt:lpstr>SUMFIR</vt:lpstr>
      <vt:lpstr>'Field Installation'!Print_Area</vt:lpstr>
      <vt:lpstr>tbl_Cell</vt:lpstr>
      <vt:lpstr>tbl_P</vt:lpstr>
    </vt:vector>
  </TitlesOfParts>
  <Company>FANUC Robotics America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holodabj</dc:creator>
  <cp:lastModifiedBy>Arnab Joy</cp:lastModifiedBy>
  <cp:lastPrinted>2019-07-15T15:17:48Z</cp:lastPrinted>
  <dcterms:created xsi:type="dcterms:W3CDTF">2009-06-12T13:09:55Z</dcterms:created>
  <dcterms:modified xsi:type="dcterms:W3CDTF">2026-03-11T16:45:04Z</dcterms:modified>
</cp:coreProperties>
</file>